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202300"/>
  <mc:AlternateContent xmlns:mc="http://schemas.openxmlformats.org/markup-compatibility/2006">
    <mc:Choice Requires="x15">
      <x15ac:absPath xmlns:x15ac="http://schemas.microsoft.com/office/spreadsheetml/2010/11/ac" url="C:\Users\LAMPBR\OneDrive - Idaho National Laboratory\Documents\0 CIE\Engagements\NCEC\"/>
    </mc:Choice>
  </mc:AlternateContent>
  <xr:revisionPtr revIDLastSave="0" documentId="13_ncr:1_{14CDF0B7-7D7E-464A-9D8F-8532344CFF5D}" xr6:coauthVersionLast="47" xr6:coauthVersionMax="47" xr10:uidLastSave="{00000000-0000-0000-0000-000000000000}"/>
  <bookViews>
    <workbookView xWindow="-120" yWindow="-120" windowWidth="29040" windowHeight="15840" tabRatio="738" firstSheet="6" activeTab="11" xr2:uid="{FB321F77-19E7-4B90-A7C7-9E66AF112886}"/>
  </bookViews>
  <sheets>
    <sheet name="Lookups (Keep Hidden)" sheetId="7" state="hidden" r:id="rId1"/>
    <sheet name="Microgrid Analysis Welcome Page" sheetId="6" r:id="rId2"/>
    <sheet name="NOTICE" sheetId="16" r:id="rId3"/>
    <sheet name="Audience Expectations" sheetId="11" r:id="rId4"/>
    <sheet name="Step 0 - System Criticality" sheetId="13" state="hidden" r:id="rId5"/>
    <sheet name="Step 1 - System Definition" sheetId="1" r:id="rId6"/>
    <sheet name="Step 2 - Service Definition|1" sheetId="8" r:id="rId7"/>
    <sheet name="Step 2 - Service Definition|2" sheetId="9" r:id="rId8"/>
    <sheet name="Step 3 - Consequence Definition" sheetId="3" r:id="rId9"/>
    <sheet name="Step 4 - Consequence Analysis" sheetId="10" r:id="rId10"/>
    <sheet name="Step 5 - Mitigation Analysis" sheetId="14" r:id="rId11"/>
    <sheet name="Step 5 - Mitigations" sheetId="12" r:id="rId12"/>
  </sheets>
  <functionGroups builtInGroupCount="19"/>
  <definedNames>
    <definedName name="_xleta.AND" hidden="1" xlm="1">#NAME?</definedName>
    <definedName name="_xleta.NO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74" i="12" l="1"/>
  <c r="J174" i="12"/>
  <c r="I174" i="12"/>
  <c r="H174" i="12"/>
  <c r="G174" i="12"/>
  <c r="F174" i="12"/>
  <c r="E174" i="12"/>
  <c r="D174" i="12"/>
  <c r="D156" i="12"/>
  <c r="C174" i="12"/>
  <c r="K441" i="12"/>
  <c r="K431" i="12"/>
  <c r="K415" i="12"/>
  <c r="K399" i="12"/>
  <c r="K392" i="12"/>
  <c r="K382" i="12"/>
  <c r="K375" i="12"/>
  <c r="K366" i="12"/>
  <c r="K358" i="12"/>
  <c r="K349" i="12"/>
  <c r="K341" i="12"/>
  <c r="K334" i="12"/>
  <c r="K327" i="12"/>
  <c r="K317" i="12"/>
  <c r="K304" i="12"/>
  <c r="K290" i="12"/>
  <c r="K273" i="12"/>
  <c r="K254" i="12"/>
  <c r="K245" i="12"/>
  <c r="K235" i="12"/>
  <c r="K219" i="12"/>
  <c r="K203" i="12"/>
  <c r="K188" i="12"/>
  <c r="K156" i="12"/>
  <c r="K144" i="12"/>
  <c r="K132" i="12"/>
  <c r="K120" i="12"/>
  <c r="K109" i="12"/>
  <c r="K97" i="12"/>
  <c r="K76" i="12"/>
  <c r="K57" i="12"/>
  <c r="K44" i="12"/>
  <c r="K37" i="12"/>
  <c r="K30" i="12"/>
  <c r="J441" i="12"/>
  <c r="J431" i="12"/>
  <c r="J415" i="12"/>
  <c r="J399" i="12"/>
  <c r="J392" i="12"/>
  <c r="J382" i="12"/>
  <c r="J375" i="12"/>
  <c r="J366" i="12"/>
  <c r="J358" i="12"/>
  <c r="J349" i="12"/>
  <c r="J341" i="12"/>
  <c r="J334" i="12"/>
  <c r="J327" i="12"/>
  <c r="J317" i="12"/>
  <c r="J304" i="12"/>
  <c r="J290" i="12"/>
  <c r="J273" i="12"/>
  <c r="J254" i="12"/>
  <c r="J245" i="12"/>
  <c r="J235" i="12"/>
  <c r="J219" i="12"/>
  <c r="J203" i="12"/>
  <c r="J188" i="12"/>
  <c r="J156" i="12"/>
  <c r="J144" i="12"/>
  <c r="J132" i="12"/>
  <c r="J120" i="12"/>
  <c r="J109" i="12"/>
  <c r="J97" i="12"/>
  <c r="J76" i="12"/>
  <c r="J57" i="12"/>
  <c r="J44" i="12"/>
  <c r="J37" i="12"/>
  <c r="J30" i="12"/>
  <c r="I441" i="12"/>
  <c r="I431" i="12"/>
  <c r="I415" i="12"/>
  <c r="I399" i="12"/>
  <c r="I392" i="12"/>
  <c r="I382" i="12"/>
  <c r="I375" i="12"/>
  <c r="I366" i="12"/>
  <c r="I358" i="12"/>
  <c r="I349" i="12"/>
  <c r="I341" i="12"/>
  <c r="I334" i="12"/>
  <c r="I327" i="12"/>
  <c r="I317" i="12"/>
  <c r="I304" i="12"/>
  <c r="I290" i="12"/>
  <c r="I273" i="12"/>
  <c r="I254" i="12"/>
  <c r="I245" i="12"/>
  <c r="I235" i="12"/>
  <c r="I219" i="12"/>
  <c r="I203" i="12"/>
  <c r="I188" i="12"/>
  <c r="I156" i="12"/>
  <c r="I144" i="12"/>
  <c r="I132" i="12"/>
  <c r="I120" i="12"/>
  <c r="I109" i="12"/>
  <c r="I97" i="12"/>
  <c r="I76" i="12"/>
  <c r="I57" i="12"/>
  <c r="I44" i="12"/>
  <c r="I37" i="12"/>
  <c r="I30" i="12"/>
  <c r="H441" i="12"/>
  <c r="H431" i="12"/>
  <c r="H415" i="12"/>
  <c r="H399" i="12"/>
  <c r="H392" i="12"/>
  <c r="H382" i="12"/>
  <c r="H375" i="12"/>
  <c r="H366" i="12"/>
  <c r="H358" i="12"/>
  <c r="H349" i="12"/>
  <c r="H341" i="12"/>
  <c r="H334" i="12"/>
  <c r="H327" i="12"/>
  <c r="H317" i="12"/>
  <c r="H304" i="12"/>
  <c r="H290" i="12"/>
  <c r="H273" i="12"/>
  <c r="H254" i="12"/>
  <c r="H245" i="12"/>
  <c r="H235" i="12"/>
  <c r="H219" i="12"/>
  <c r="H203" i="12"/>
  <c r="H188" i="12"/>
  <c r="H156" i="12"/>
  <c r="H144" i="12"/>
  <c r="H132" i="12"/>
  <c r="H120" i="12"/>
  <c r="H109" i="12"/>
  <c r="H97" i="12"/>
  <c r="H76" i="12"/>
  <c r="H57" i="12"/>
  <c r="H44" i="12"/>
  <c r="H37" i="12"/>
  <c r="H30" i="12"/>
  <c r="G441" i="12"/>
  <c r="G431" i="12"/>
  <c r="G415" i="12"/>
  <c r="G399" i="12"/>
  <c r="G392" i="12"/>
  <c r="G382" i="12"/>
  <c r="G375" i="12"/>
  <c r="G366" i="12"/>
  <c r="G358" i="12"/>
  <c r="G349" i="12"/>
  <c r="G341" i="12"/>
  <c r="G334" i="12"/>
  <c r="G327" i="12"/>
  <c r="G317" i="12"/>
  <c r="G304" i="12"/>
  <c r="G290" i="12"/>
  <c r="G273" i="12"/>
  <c r="G254" i="12"/>
  <c r="G245" i="12"/>
  <c r="G235" i="12"/>
  <c r="G219" i="12"/>
  <c r="G203" i="12"/>
  <c r="G188" i="12"/>
  <c r="G156" i="12"/>
  <c r="G144" i="12"/>
  <c r="G132" i="12"/>
  <c r="G120" i="12"/>
  <c r="G109" i="12"/>
  <c r="G97" i="12"/>
  <c r="G76" i="12"/>
  <c r="G57" i="12"/>
  <c r="G44" i="12"/>
  <c r="G37" i="12"/>
  <c r="G30" i="12"/>
  <c r="F441" i="12"/>
  <c r="F431" i="12"/>
  <c r="F415" i="12"/>
  <c r="F399" i="12"/>
  <c r="F392" i="12"/>
  <c r="F382" i="12"/>
  <c r="F375" i="12"/>
  <c r="F366" i="12"/>
  <c r="F358" i="12"/>
  <c r="F349" i="12"/>
  <c r="F341" i="12"/>
  <c r="F334" i="12"/>
  <c r="F327" i="12"/>
  <c r="F317" i="12"/>
  <c r="F304" i="12"/>
  <c r="F290" i="12"/>
  <c r="F273" i="12"/>
  <c r="F254" i="12"/>
  <c r="F245" i="12"/>
  <c r="F235" i="12"/>
  <c r="F219" i="12"/>
  <c r="F203" i="12"/>
  <c r="F188" i="12"/>
  <c r="F156" i="12"/>
  <c r="F144" i="12"/>
  <c r="F132" i="12"/>
  <c r="F120" i="12"/>
  <c r="F109" i="12"/>
  <c r="F97" i="12"/>
  <c r="F76" i="12"/>
  <c r="F57" i="12"/>
  <c r="F44" i="12"/>
  <c r="F37" i="12"/>
  <c r="F30" i="12"/>
  <c r="E441" i="12"/>
  <c r="E431" i="12"/>
  <c r="E415" i="12"/>
  <c r="E399" i="12"/>
  <c r="E392" i="12"/>
  <c r="E382" i="12"/>
  <c r="E375" i="12"/>
  <c r="E366" i="12"/>
  <c r="E358" i="12"/>
  <c r="E349" i="12"/>
  <c r="E341" i="12"/>
  <c r="E334" i="12"/>
  <c r="E327" i="12"/>
  <c r="E317" i="12"/>
  <c r="E304" i="12"/>
  <c r="E290" i="12"/>
  <c r="E273" i="12"/>
  <c r="E254" i="12"/>
  <c r="E245" i="12"/>
  <c r="E235" i="12"/>
  <c r="E219" i="12"/>
  <c r="E203" i="12"/>
  <c r="E188" i="12"/>
  <c r="E156" i="12"/>
  <c r="E144" i="12"/>
  <c r="E132" i="12"/>
  <c r="E120" i="12"/>
  <c r="E109" i="12"/>
  <c r="E97" i="12"/>
  <c r="E76" i="12"/>
  <c r="E57" i="12"/>
  <c r="E44" i="12"/>
  <c r="E37" i="12"/>
  <c r="E30" i="12"/>
  <c r="D30" i="12"/>
  <c r="D441" i="12"/>
  <c r="D431" i="12"/>
  <c r="D415" i="12"/>
  <c r="D399" i="12"/>
  <c r="D392" i="12"/>
  <c r="D382" i="12"/>
  <c r="D375" i="12"/>
  <c r="D366" i="12"/>
  <c r="D358" i="12"/>
  <c r="D349" i="12"/>
  <c r="D341" i="12"/>
  <c r="D334" i="12"/>
  <c r="D327" i="12"/>
  <c r="D317" i="12"/>
  <c r="D304" i="12"/>
  <c r="D290" i="12"/>
  <c r="D273" i="12"/>
  <c r="D254" i="12"/>
  <c r="D245" i="12"/>
  <c r="D235" i="12"/>
  <c r="D219" i="12"/>
  <c r="D203" i="12"/>
  <c r="D188" i="12"/>
  <c r="D144" i="12"/>
  <c r="D132" i="12"/>
  <c r="D120" i="12"/>
  <c r="D109" i="12"/>
  <c r="D97" i="12"/>
  <c r="D76" i="12"/>
  <c r="D57" i="12"/>
  <c r="D44" i="12"/>
  <c r="D37" i="12"/>
  <c r="Y5" i="14"/>
  <c r="Z5" i="14"/>
  <c r="Y6" i="14"/>
  <c r="Z6" i="14"/>
  <c r="Y7" i="14"/>
  <c r="Z7" i="14"/>
  <c r="Y8" i="14"/>
  <c r="Z8" i="14"/>
  <c r="Y9" i="14"/>
  <c r="Z9" i="14"/>
  <c r="Y10" i="14"/>
  <c r="Z10" i="14"/>
  <c r="Y11" i="14"/>
  <c r="Z11" i="14"/>
  <c r="Y12" i="14"/>
  <c r="Z12" i="14"/>
  <c r="Y13" i="14"/>
  <c r="Z13" i="14"/>
  <c r="Y14" i="14"/>
  <c r="Z14" i="14"/>
  <c r="Y15" i="14"/>
  <c r="Z15" i="14"/>
  <c r="Y16" i="14"/>
  <c r="Z16" i="14"/>
  <c r="Y17" i="14"/>
  <c r="Z17" i="14"/>
  <c r="Y18" i="14"/>
  <c r="Z18" i="14"/>
  <c r="Y19" i="14"/>
  <c r="Z19" i="14"/>
  <c r="Y20" i="14"/>
  <c r="Z20" i="14"/>
  <c r="Y21" i="14"/>
  <c r="Z21" i="14"/>
  <c r="Y22" i="14"/>
  <c r="Z22" i="14"/>
  <c r="Y23" i="14"/>
  <c r="Z23" i="14"/>
  <c r="Y24" i="14"/>
  <c r="Z24" i="14"/>
  <c r="Y25" i="14"/>
  <c r="Z25" i="14"/>
  <c r="Y26" i="14"/>
  <c r="Z26" i="14"/>
  <c r="Y27" i="14"/>
  <c r="Z27" i="14"/>
  <c r="Y28" i="14"/>
  <c r="Z28" i="14"/>
  <c r="Y29" i="14"/>
  <c r="Z29" i="14"/>
  <c r="Y30" i="14"/>
  <c r="Z30" i="14"/>
  <c r="Y31" i="14"/>
  <c r="Z31" i="14"/>
  <c r="Y32" i="14"/>
  <c r="Z32" i="14"/>
  <c r="Y33" i="14"/>
  <c r="Z33" i="14"/>
  <c r="Y34" i="14"/>
  <c r="Z34" i="14"/>
  <c r="Y35" i="14"/>
  <c r="Z35" i="14"/>
  <c r="Y36" i="14"/>
  <c r="Z36" i="14"/>
  <c r="Y37" i="14"/>
  <c r="Z37" i="14"/>
  <c r="Y38" i="14"/>
  <c r="Z38" i="14"/>
  <c r="V5" i="14"/>
  <c r="W5" i="14"/>
  <c r="V6" i="14"/>
  <c r="W6" i="14"/>
  <c r="V7" i="14"/>
  <c r="W7" i="14"/>
  <c r="V8" i="14"/>
  <c r="W8" i="14"/>
  <c r="V9" i="14"/>
  <c r="W9" i="14"/>
  <c r="V10" i="14"/>
  <c r="W10" i="14"/>
  <c r="V11" i="14"/>
  <c r="W11" i="14"/>
  <c r="V12" i="14"/>
  <c r="W12" i="14"/>
  <c r="V13" i="14"/>
  <c r="W13" i="14"/>
  <c r="V14" i="14"/>
  <c r="W14" i="14"/>
  <c r="V15" i="14"/>
  <c r="W15" i="14"/>
  <c r="V16" i="14"/>
  <c r="W16" i="14"/>
  <c r="V17" i="14"/>
  <c r="W17" i="14"/>
  <c r="V18" i="14"/>
  <c r="W18" i="14"/>
  <c r="V19" i="14"/>
  <c r="W19" i="14"/>
  <c r="V20" i="14"/>
  <c r="W20" i="14"/>
  <c r="V21" i="14"/>
  <c r="W21" i="14"/>
  <c r="V22" i="14"/>
  <c r="W22" i="14"/>
  <c r="V23" i="14"/>
  <c r="W23" i="14"/>
  <c r="V24" i="14"/>
  <c r="W24" i="14"/>
  <c r="V25" i="14"/>
  <c r="W25" i="14"/>
  <c r="V26" i="14"/>
  <c r="W26" i="14"/>
  <c r="V27" i="14"/>
  <c r="W27" i="14"/>
  <c r="V28" i="14"/>
  <c r="W28" i="14"/>
  <c r="V29" i="14"/>
  <c r="W29" i="14"/>
  <c r="V30" i="14"/>
  <c r="W30" i="14"/>
  <c r="V31" i="14"/>
  <c r="W31" i="14"/>
  <c r="V32" i="14"/>
  <c r="W32" i="14"/>
  <c r="V33" i="14"/>
  <c r="W33" i="14"/>
  <c r="V34" i="14"/>
  <c r="W34" i="14"/>
  <c r="V35" i="14"/>
  <c r="W35" i="14"/>
  <c r="V36" i="14"/>
  <c r="W36" i="14"/>
  <c r="V37" i="14"/>
  <c r="W37" i="14"/>
  <c r="V38" i="14"/>
  <c r="W38" i="14"/>
  <c r="S5" i="14"/>
  <c r="T5" i="14"/>
  <c r="S6" i="14"/>
  <c r="T6" i="14"/>
  <c r="S7" i="14"/>
  <c r="T7" i="14"/>
  <c r="S8" i="14"/>
  <c r="T8" i="14"/>
  <c r="S9" i="14"/>
  <c r="T9" i="14"/>
  <c r="S10" i="14"/>
  <c r="T10" i="14"/>
  <c r="S11" i="14"/>
  <c r="T11" i="14"/>
  <c r="S12" i="14"/>
  <c r="T12" i="14"/>
  <c r="S13" i="14"/>
  <c r="T13" i="14"/>
  <c r="S14" i="14"/>
  <c r="T14" i="14"/>
  <c r="S15" i="14"/>
  <c r="T15" i="14"/>
  <c r="S16" i="14"/>
  <c r="T16" i="14"/>
  <c r="S17" i="14"/>
  <c r="T17" i="14"/>
  <c r="S18" i="14"/>
  <c r="T18" i="14"/>
  <c r="S19" i="14"/>
  <c r="T19" i="14"/>
  <c r="S20" i="14"/>
  <c r="T20" i="14"/>
  <c r="S21" i="14"/>
  <c r="T21" i="14"/>
  <c r="S22" i="14"/>
  <c r="T22" i="14"/>
  <c r="S23" i="14"/>
  <c r="T23" i="14"/>
  <c r="S24" i="14"/>
  <c r="T24" i="14"/>
  <c r="S25" i="14"/>
  <c r="T25" i="14"/>
  <c r="S26" i="14"/>
  <c r="T26" i="14"/>
  <c r="S27" i="14"/>
  <c r="T27" i="14"/>
  <c r="S28" i="14"/>
  <c r="T28" i="14"/>
  <c r="S29" i="14"/>
  <c r="T29" i="14"/>
  <c r="S30" i="14"/>
  <c r="T30" i="14"/>
  <c r="S31" i="14"/>
  <c r="T31" i="14"/>
  <c r="S32" i="14"/>
  <c r="T32" i="14"/>
  <c r="S33" i="14"/>
  <c r="T33" i="14"/>
  <c r="S34" i="14"/>
  <c r="T34" i="14"/>
  <c r="S35" i="14"/>
  <c r="T35" i="14"/>
  <c r="S36" i="14"/>
  <c r="T36" i="14"/>
  <c r="S37" i="14"/>
  <c r="T37" i="14"/>
  <c r="S38" i="14"/>
  <c r="T38" i="14"/>
  <c r="P5" i="14"/>
  <c r="Q5" i="14"/>
  <c r="P6" i="14"/>
  <c r="Q6" i="14"/>
  <c r="P7" i="14"/>
  <c r="Q7" i="14"/>
  <c r="P8" i="14"/>
  <c r="Q8" i="14"/>
  <c r="P9" i="14"/>
  <c r="Q9" i="14"/>
  <c r="P10" i="14"/>
  <c r="Q10" i="14"/>
  <c r="P11" i="14"/>
  <c r="Q11" i="14"/>
  <c r="P12" i="14"/>
  <c r="Q12" i="14"/>
  <c r="P13" i="14"/>
  <c r="Q13" i="14"/>
  <c r="P14" i="14"/>
  <c r="Q14" i="14"/>
  <c r="P15" i="14"/>
  <c r="Q15" i="14"/>
  <c r="P16" i="14"/>
  <c r="Q16" i="14"/>
  <c r="P17" i="14"/>
  <c r="Q17" i="14"/>
  <c r="P18" i="14"/>
  <c r="Q18" i="14"/>
  <c r="P19" i="14"/>
  <c r="Q19" i="14"/>
  <c r="P20" i="14"/>
  <c r="Q20" i="14"/>
  <c r="P21" i="14"/>
  <c r="Q21" i="14"/>
  <c r="P22" i="14"/>
  <c r="Q22" i="14"/>
  <c r="P23" i="14"/>
  <c r="Q23" i="14"/>
  <c r="P24" i="14"/>
  <c r="Q24" i="14"/>
  <c r="P25" i="14"/>
  <c r="Q25" i="14"/>
  <c r="P26" i="14"/>
  <c r="Q26" i="14"/>
  <c r="P27" i="14"/>
  <c r="Q27" i="14"/>
  <c r="P28" i="14"/>
  <c r="Q28" i="14"/>
  <c r="P29" i="14"/>
  <c r="Q29" i="14"/>
  <c r="P30" i="14"/>
  <c r="Q30" i="14"/>
  <c r="P31" i="14"/>
  <c r="Q31" i="14"/>
  <c r="P32" i="14"/>
  <c r="Q32" i="14"/>
  <c r="P33" i="14"/>
  <c r="Q33" i="14"/>
  <c r="P34" i="14"/>
  <c r="Q34" i="14"/>
  <c r="P35" i="14"/>
  <c r="Q35" i="14"/>
  <c r="P36" i="14"/>
  <c r="Q36" i="14"/>
  <c r="P37" i="14"/>
  <c r="Q37" i="14"/>
  <c r="P38" i="14"/>
  <c r="Q38" i="14"/>
  <c r="M5" i="14"/>
  <c r="N5" i="14"/>
  <c r="M6" i="14"/>
  <c r="N6" i="14"/>
  <c r="M7" i="14"/>
  <c r="N7" i="14"/>
  <c r="M8" i="14"/>
  <c r="N8" i="14"/>
  <c r="M9" i="14"/>
  <c r="N9" i="14"/>
  <c r="M10" i="14"/>
  <c r="N10" i="14"/>
  <c r="M11" i="14"/>
  <c r="N11" i="14"/>
  <c r="M12" i="14"/>
  <c r="N12" i="14"/>
  <c r="M13" i="14"/>
  <c r="N13" i="14"/>
  <c r="M14" i="14"/>
  <c r="N14" i="14"/>
  <c r="M15" i="14"/>
  <c r="N15" i="14"/>
  <c r="M16" i="14"/>
  <c r="N16" i="14"/>
  <c r="M17" i="14"/>
  <c r="N17" i="14"/>
  <c r="M18" i="14"/>
  <c r="N18" i="14"/>
  <c r="M19" i="14"/>
  <c r="N19" i="14"/>
  <c r="M20" i="14"/>
  <c r="N20" i="14"/>
  <c r="M21" i="14"/>
  <c r="N21" i="14"/>
  <c r="M22" i="14"/>
  <c r="N22" i="14"/>
  <c r="M23" i="14"/>
  <c r="N23" i="14"/>
  <c r="M24" i="14"/>
  <c r="N24" i="14"/>
  <c r="M25" i="14"/>
  <c r="N25" i="14"/>
  <c r="M26" i="14"/>
  <c r="N26" i="14"/>
  <c r="M27" i="14"/>
  <c r="N27" i="14"/>
  <c r="M28" i="14"/>
  <c r="N28" i="14"/>
  <c r="M29" i="14"/>
  <c r="N29" i="14"/>
  <c r="M30" i="14"/>
  <c r="N30" i="14"/>
  <c r="M31" i="14"/>
  <c r="N31" i="14"/>
  <c r="M32" i="14"/>
  <c r="N32" i="14"/>
  <c r="M33" i="14"/>
  <c r="N33" i="14"/>
  <c r="M34" i="14"/>
  <c r="N34" i="14"/>
  <c r="M35" i="14"/>
  <c r="N35" i="14"/>
  <c r="M36" i="14"/>
  <c r="N36" i="14"/>
  <c r="M37" i="14"/>
  <c r="N37" i="14"/>
  <c r="M38" i="14"/>
  <c r="N38" i="14"/>
  <c r="J5" i="14"/>
  <c r="K5" i="14"/>
  <c r="J6" i="14"/>
  <c r="K6" i="14"/>
  <c r="J7" i="14"/>
  <c r="K7" i="14"/>
  <c r="J8" i="14"/>
  <c r="K8" i="14"/>
  <c r="J9" i="14"/>
  <c r="K9" i="14"/>
  <c r="J10" i="14"/>
  <c r="K10" i="14"/>
  <c r="J11" i="14"/>
  <c r="K11" i="14"/>
  <c r="J12" i="14"/>
  <c r="K12" i="14"/>
  <c r="J13" i="14"/>
  <c r="K13" i="14"/>
  <c r="J14" i="14"/>
  <c r="K14" i="14"/>
  <c r="J15" i="14"/>
  <c r="K15" i="14"/>
  <c r="J16" i="14"/>
  <c r="K16" i="14"/>
  <c r="J17" i="14"/>
  <c r="K17" i="14"/>
  <c r="J18" i="14"/>
  <c r="K18" i="14"/>
  <c r="J19" i="14"/>
  <c r="K19" i="14"/>
  <c r="J20" i="14"/>
  <c r="K20" i="14"/>
  <c r="J21" i="14"/>
  <c r="K21" i="14"/>
  <c r="J22" i="14"/>
  <c r="K22" i="14"/>
  <c r="J23" i="14"/>
  <c r="K23" i="14"/>
  <c r="J24" i="14"/>
  <c r="K24" i="14"/>
  <c r="J25" i="14"/>
  <c r="K25" i="14"/>
  <c r="J26" i="14"/>
  <c r="K26" i="14"/>
  <c r="J27" i="14"/>
  <c r="K27" i="14"/>
  <c r="J28" i="14"/>
  <c r="K28" i="14"/>
  <c r="J29" i="14"/>
  <c r="K29" i="14"/>
  <c r="J30" i="14"/>
  <c r="K30" i="14"/>
  <c r="J31" i="14"/>
  <c r="K31" i="14"/>
  <c r="J32" i="14"/>
  <c r="K32" i="14"/>
  <c r="J33" i="14"/>
  <c r="K33" i="14"/>
  <c r="J34" i="14"/>
  <c r="K34" i="14"/>
  <c r="J35" i="14"/>
  <c r="K35" i="14"/>
  <c r="J36" i="14"/>
  <c r="K36" i="14"/>
  <c r="J37" i="14"/>
  <c r="K37" i="14"/>
  <c r="J38" i="14"/>
  <c r="K38" i="14"/>
  <c r="G5" i="14"/>
  <c r="H5" i="14"/>
  <c r="G6" i="14"/>
  <c r="H6" i="14"/>
  <c r="G7" i="14"/>
  <c r="H7" i="14"/>
  <c r="G8" i="14"/>
  <c r="H8" i="14"/>
  <c r="G9" i="14"/>
  <c r="H9" i="14"/>
  <c r="G10" i="14"/>
  <c r="H10" i="14"/>
  <c r="G11" i="14"/>
  <c r="H11" i="14"/>
  <c r="G12" i="14"/>
  <c r="H12" i="14"/>
  <c r="G13" i="14"/>
  <c r="H13" i="14"/>
  <c r="G14" i="14"/>
  <c r="H14" i="14"/>
  <c r="G15" i="14"/>
  <c r="H15" i="14"/>
  <c r="G16" i="14"/>
  <c r="H16" i="14"/>
  <c r="G17" i="14"/>
  <c r="H17" i="14"/>
  <c r="G18" i="14"/>
  <c r="H18" i="14"/>
  <c r="G19" i="14"/>
  <c r="H19" i="14"/>
  <c r="G20" i="14"/>
  <c r="H20" i="14"/>
  <c r="G21" i="14"/>
  <c r="H21" i="14"/>
  <c r="G22" i="14"/>
  <c r="H22" i="14"/>
  <c r="G23" i="14"/>
  <c r="H23" i="14"/>
  <c r="G24" i="14"/>
  <c r="H24" i="14"/>
  <c r="G25" i="14"/>
  <c r="H25" i="14"/>
  <c r="G26" i="14"/>
  <c r="H26" i="14"/>
  <c r="G27" i="14"/>
  <c r="H27" i="14"/>
  <c r="G28" i="14"/>
  <c r="H28" i="14"/>
  <c r="G29" i="14"/>
  <c r="H29" i="14"/>
  <c r="G30" i="14"/>
  <c r="H30" i="14"/>
  <c r="G31" i="14"/>
  <c r="H31" i="14"/>
  <c r="G32" i="14"/>
  <c r="H32" i="14"/>
  <c r="G33" i="14"/>
  <c r="H33" i="14"/>
  <c r="G34" i="14"/>
  <c r="H34" i="14"/>
  <c r="G35" i="14"/>
  <c r="H35" i="14"/>
  <c r="G36" i="14"/>
  <c r="H36" i="14"/>
  <c r="G37" i="14"/>
  <c r="H37" i="14"/>
  <c r="G38" i="14"/>
  <c r="H38" i="14"/>
  <c r="Z4" i="14"/>
  <c r="Y4" i="14"/>
  <c r="W4" i="14"/>
  <c r="V4" i="14"/>
  <c r="T4" i="14"/>
  <c r="S4" i="14"/>
  <c r="Q4" i="14"/>
  <c r="P4" i="14"/>
  <c r="N4" i="14"/>
  <c r="M4" i="14"/>
  <c r="K4" i="14"/>
  <c r="J4" i="14"/>
  <c r="H4" i="14"/>
  <c r="G4" i="14"/>
  <c r="D5" i="14"/>
  <c r="E5" i="14"/>
  <c r="D6" i="14"/>
  <c r="E6" i="14"/>
  <c r="D7" i="14"/>
  <c r="E7" i="14"/>
  <c r="D8" i="14"/>
  <c r="E8" i="14"/>
  <c r="D9" i="14"/>
  <c r="E9" i="14"/>
  <c r="D10" i="14"/>
  <c r="E10" i="14"/>
  <c r="D11" i="14"/>
  <c r="E11" i="14"/>
  <c r="D12" i="14"/>
  <c r="E12" i="14"/>
  <c r="D13" i="14"/>
  <c r="E13" i="14"/>
  <c r="D14" i="14"/>
  <c r="E14" i="14"/>
  <c r="D15" i="14"/>
  <c r="E15" i="14"/>
  <c r="D16" i="14"/>
  <c r="E16" i="14"/>
  <c r="D17" i="14"/>
  <c r="E17" i="14"/>
  <c r="D18" i="14"/>
  <c r="E18" i="14"/>
  <c r="D19" i="14"/>
  <c r="E19" i="14"/>
  <c r="D20" i="14"/>
  <c r="E20" i="14"/>
  <c r="D21" i="14"/>
  <c r="E21" i="14"/>
  <c r="D22" i="14"/>
  <c r="E22" i="14"/>
  <c r="D23" i="14"/>
  <c r="E23" i="14"/>
  <c r="D24" i="14"/>
  <c r="E24" i="14"/>
  <c r="D25" i="14"/>
  <c r="E25" i="14"/>
  <c r="D26" i="14"/>
  <c r="E26" i="14"/>
  <c r="D27" i="14"/>
  <c r="E27" i="14"/>
  <c r="D28" i="14"/>
  <c r="E28" i="14"/>
  <c r="D29" i="14"/>
  <c r="E29" i="14"/>
  <c r="D30" i="14"/>
  <c r="E30" i="14"/>
  <c r="D31" i="14"/>
  <c r="E31" i="14"/>
  <c r="D32" i="14"/>
  <c r="E32" i="14"/>
  <c r="D33" i="14"/>
  <c r="E33" i="14"/>
  <c r="D34" i="14"/>
  <c r="E34" i="14"/>
  <c r="D35" i="14"/>
  <c r="E35" i="14"/>
  <c r="D36" i="14"/>
  <c r="E36" i="14"/>
  <c r="D37" i="14"/>
  <c r="E37" i="14"/>
  <c r="D38" i="14"/>
  <c r="E38" i="14"/>
  <c r="E4" i="14"/>
  <c r="D4"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J47" i="13"/>
  <c r="H47" i="13"/>
  <c r="F47" i="13"/>
  <c r="D47" i="13"/>
  <c r="J44" i="13"/>
  <c r="H44" i="13"/>
  <c r="F44" i="13"/>
  <c r="D44" i="13"/>
  <c r="C441" i="12" l="1"/>
  <c r="C431" i="12"/>
  <c r="C415" i="12"/>
  <c r="C399" i="12"/>
  <c r="Y35" i="10"/>
  <c r="Y36" i="10"/>
  <c r="Y37" i="10"/>
  <c r="Y38" i="10"/>
  <c r="V35" i="10"/>
  <c r="V36" i="10"/>
  <c r="V37" i="10"/>
  <c r="V38" i="10"/>
  <c r="S38" i="10"/>
  <c r="S35" i="10"/>
  <c r="S36" i="10"/>
  <c r="S37" i="10"/>
  <c r="P35" i="10"/>
  <c r="P36" i="10"/>
  <c r="P37" i="10"/>
  <c r="P38" i="10"/>
  <c r="M35" i="10"/>
  <c r="M36" i="10"/>
  <c r="M37" i="10"/>
  <c r="M38" i="10"/>
  <c r="J35" i="10"/>
  <c r="J36" i="10"/>
  <c r="J37" i="10"/>
  <c r="J38" i="10"/>
  <c r="G36" i="10"/>
  <c r="G37" i="10"/>
  <c r="G38" i="10"/>
  <c r="G35" i="10"/>
  <c r="D35" i="10"/>
  <c r="D36" i="10"/>
  <c r="D37" i="10"/>
  <c r="D38" i="10"/>
  <c r="C36" i="10"/>
  <c r="C37" i="10"/>
  <c r="C38" i="10"/>
  <c r="C35" i="10"/>
  <c r="C37" i="9"/>
  <c r="C36" i="9"/>
  <c r="C35" i="9"/>
  <c r="C34" i="9"/>
  <c r="E39" i="8" a="1"/>
  <c r="E39" i="8" s="1"/>
  <c r="F39" i="8" a="1"/>
  <c r="F39" i="8" s="1"/>
  <c r="G39" i="8" a="1"/>
  <c r="G39" i="8" s="1"/>
  <c r="H39" i="8" a="1"/>
  <c r="H39" i="8" s="1"/>
  <c r="I39" i="8" a="1"/>
  <c r="I39" i="8" s="1"/>
  <c r="J39" i="8" a="1"/>
  <c r="J39" i="8" s="1"/>
  <c r="K39" i="8" a="1"/>
  <c r="K39" i="8" s="1"/>
  <c r="D39" i="8" a="1"/>
  <c r="D39" i="8" s="1"/>
  <c r="L35" i="8" a="1"/>
  <c r="L35" i="8" s="1"/>
  <c r="L36" i="8" a="1"/>
  <c r="L36" i="8" s="1"/>
  <c r="L37" i="8" a="1"/>
  <c r="L37" i="8" s="1"/>
  <c r="L38" i="8" a="1"/>
  <c r="L38" i="8" s="1"/>
  <c r="C109" i="12"/>
  <c r="C392" i="12" l="1"/>
  <c r="C382" i="12"/>
  <c r="C375" i="12"/>
  <c r="C366" i="12"/>
  <c r="C358" i="12"/>
  <c r="C349" i="12"/>
  <c r="C341" i="12"/>
  <c r="C334" i="12"/>
  <c r="C327" i="12"/>
  <c r="C317" i="12"/>
  <c r="C304" i="12"/>
  <c r="C290" i="12"/>
  <c r="C273" i="12"/>
  <c r="C254" i="12"/>
  <c r="C245" i="12"/>
  <c r="C235" i="12"/>
  <c r="C219" i="12"/>
  <c r="C203" i="12"/>
  <c r="C188" i="12"/>
  <c r="C156" i="12"/>
  <c r="C144" i="12"/>
  <c r="C132" i="12"/>
  <c r="C120" i="12"/>
  <c r="C97" i="12"/>
  <c r="C76" i="12"/>
  <c r="C57" i="12"/>
  <c r="C44" i="12"/>
  <c r="C37" i="12"/>
  <c r="C30" i="12"/>
  <c r="D8" i="10" l="1"/>
  <c r="C28" i="9"/>
  <c r="Y5" i="10"/>
  <c r="Y6" i="10"/>
  <c r="Y7" i="10"/>
  <c r="Y8" i="10"/>
  <c r="Y9" i="10"/>
  <c r="Y10" i="10"/>
  <c r="Y11" i="10"/>
  <c r="Y12" i="10"/>
  <c r="Y13" i="10"/>
  <c r="Y14" i="10"/>
  <c r="Y15" i="10"/>
  <c r="Y16" i="10"/>
  <c r="Y17" i="10"/>
  <c r="Y18" i="10"/>
  <c r="Y19" i="10"/>
  <c r="Y20" i="10"/>
  <c r="Y21" i="10"/>
  <c r="Y22" i="10"/>
  <c r="Y23" i="10"/>
  <c r="Y24" i="10"/>
  <c r="Y25" i="10"/>
  <c r="Y26" i="10"/>
  <c r="Y27" i="10"/>
  <c r="Y28" i="10"/>
  <c r="Y29" i="10"/>
  <c r="Y30" i="10"/>
  <c r="Y31" i="10"/>
  <c r="Y32" i="10"/>
  <c r="Y33" i="10"/>
  <c r="Y34" i="10"/>
  <c r="Y4" i="10"/>
  <c r="V5" i="10"/>
  <c r="V6" i="10"/>
  <c r="V7" i="10"/>
  <c r="V8" i="10"/>
  <c r="V9" i="10"/>
  <c r="V10" i="10"/>
  <c r="V11" i="10"/>
  <c r="V12" i="10"/>
  <c r="V13" i="10"/>
  <c r="V14" i="10"/>
  <c r="V15" i="10"/>
  <c r="V16" i="10"/>
  <c r="V17" i="10"/>
  <c r="V18" i="10"/>
  <c r="V19" i="10"/>
  <c r="V20" i="10"/>
  <c r="V21" i="10"/>
  <c r="V22" i="10"/>
  <c r="V23" i="10"/>
  <c r="V24" i="10"/>
  <c r="V25" i="10"/>
  <c r="V26" i="10"/>
  <c r="V27" i="10"/>
  <c r="V28" i="10"/>
  <c r="V29" i="10"/>
  <c r="V30" i="10"/>
  <c r="V31" i="10"/>
  <c r="V32" i="10"/>
  <c r="V33" i="10"/>
  <c r="V34" i="10"/>
  <c r="V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4" i="10"/>
  <c r="P5" i="10"/>
  <c r="P6" i="10"/>
  <c r="P7" i="10"/>
  <c r="P8" i="10"/>
  <c r="P9" i="10"/>
  <c r="P10" i="10"/>
  <c r="P11" i="10"/>
  <c r="P12" i="10"/>
  <c r="P13" i="10"/>
  <c r="P14" i="10"/>
  <c r="P15" i="10"/>
  <c r="P16" i="10"/>
  <c r="P17" i="10"/>
  <c r="P18" i="10"/>
  <c r="P19" i="10"/>
  <c r="P20" i="10"/>
  <c r="P21" i="10"/>
  <c r="P22" i="10"/>
  <c r="P23" i="10"/>
  <c r="P24" i="10"/>
  <c r="P25" i="10"/>
  <c r="P26" i="10"/>
  <c r="P27" i="10"/>
  <c r="P28" i="10"/>
  <c r="P29" i="10"/>
  <c r="P30" i="10"/>
  <c r="P31" i="10"/>
  <c r="P32" i="10"/>
  <c r="P33" i="10"/>
  <c r="P34" i="10"/>
  <c r="P4" i="10"/>
  <c r="M6" i="10"/>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4" i="10"/>
  <c r="M5" i="10"/>
  <c r="J5" i="10"/>
  <c r="J6" i="10"/>
  <c r="J7" i="10"/>
  <c r="J8" i="10"/>
  <c r="J9" i="10"/>
  <c r="J10" i="10"/>
  <c r="J11" i="10"/>
  <c r="J12" i="10"/>
  <c r="J13" i="10"/>
  <c r="J14" i="10"/>
  <c r="J15" i="10"/>
  <c r="J16" i="10"/>
  <c r="J17" i="10"/>
  <c r="J18" i="10"/>
  <c r="J19" i="10"/>
  <c r="J20" i="10"/>
  <c r="J21" i="10"/>
  <c r="J22" i="10"/>
  <c r="J23" i="10"/>
  <c r="J24" i="10"/>
  <c r="J25" i="10"/>
  <c r="J26" i="10"/>
  <c r="J27" i="10"/>
  <c r="J28" i="10"/>
  <c r="J29" i="10"/>
  <c r="J30" i="10"/>
  <c r="J31" i="10"/>
  <c r="J32" i="10"/>
  <c r="J33" i="10"/>
  <c r="J34" i="10"/>
  <c r="J4" i="10"/>
  <c r="G5" i="10"/>
  <c r="G6" i="10"/>
  <c r="G7" i="10"/>
  <c r="G8" i="10"/>
  <c r="G9" i="10"/>
  <c r="G10" i="10"/>
  <c r="G11" i="10"/>
  <c r="G12" i="10"/>
  <c r="G13" i="10"/>
  <c r="G14" i="10"/>
  <c r="G15" i="10"/>
  <c r="G16" i="10"/>
  <c r="G17" i="10"/>
  <c r="G18" i="10"/>
  <c r="G19" i="10"/>
  <c r="G20" i="10"/>
  <c r="G21" i="10"/>
  <c r="G22" i="10"/>
  <c r="G23" i="10"/>
  <c r="G24" i="10"/>
  <c r="G25" i="10"/>
  <c r="G26" i="10"/>
  <c r="G27" i="10"/>
  <c r="G28" i="10"/>
  <c r="G29" i="10"/>
  <c r="G30" i="10"/>
  <c r="G31" i="10"/>
  <c r="G32" i="10"/>
  <c r="G33" i="10"/>
  <c r="G34" i="10"/>
  <c r="G4" i="10"/>
  <c r="D6" i="10"/>
  <c r="D7" i="10"/>
  <c r="D9" i="10"/>
  <c r="D10" i="10"/>
  <c r="D11" i="10"/>
  <c r="D12" i="10"/>
  <c r="D13" i="10"/>
  <c r="D14" i="10"/>
  <c r="D15" i="10"/>
  <c r="D16" i="10"/>
  <c r="D17" i="10"/>
  <c r="D18" i="10"/>
  <c r="D19" i="10"/>
  <c r="D20" i="10"/>
  <c r="D21" i="10"/>
  <c r="D22" i="10"/>
  <c r="D23" i="10"/>
  <c r="D24" i="10"/>
  <c r="D25" i="10"/>
  <c r="D26" i="10"/>
  <c r="D27" i="10"/>
  <c r="D28" i="10"/>
  <c r="D29" i="10"/>
  <c r="D30" i="10"/>
  <c r="D31" i="10"/>
  <c r="D32" i="10"/>
  <c r="D33" i="10"/>
  <c r="D34" i="10"/>
  <c r="D5" i="10"/>
  <c r="D4" i="10" l="1"/>
  <c r="C34" i="10" l="1"/>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C33" i="9"/>
  <c r="C32" i="9"/>
  <c r="C31" i="9"/>
  <c r="C30" i="9"/>
  <c r="C29" i="9"/>
  <c r="C27" i="9"/>
  <c r="C26" i="9"/>
  <c r="C25" i="9"/>
  <c r="C24" i="9"/>
  <c r="C23" i="9"/>
  <c r="C22" i="9"/>
  <c r="C21" i="9"/>
  <c r="C20" i="9"/>
  <c r="C19" i="9"/>
  <c r="C18" i="9"/>
  <c r="C17" i="9"/>
  <c r="C16" i="9"/>
  <c r="C15" i="9"/>
  <c r="C14" i="9"/>
  <c r="C13" i="9"/>
  <c r="C12" i="9"/>
  <c r="C11" i="9"/>
  <c r="C10" i="9"/>
  <c r="C9" i="9"/>
  <c r="C8" i="9"/>
  <c r="C7" i="9"/>
  <c r="C6" i="9"/>
  <c r="C5" i="9"/>
  <c r="C4" i="9"/>
  <c r="C3" i="9"/>
  <c r="L5" i="8" a="1"/>
  <c r="L5" i="8" s="1"/>
  <c r="L6" i="8" a="1"/>
  <c r="L6" i="8" s="1"/>
  <c r="L7" i="8" a="1"/>
  <c r="L7" i="8" s="1"/>
  <c r="L8" i="8" a="1"/>
  <c r="L8" i="8" s="1"/>
  <c r="L9" i="8" a="1"/>
  <c r="L9" i="8" s="1"/>
  <c r="L10" i="8" a="1"/>
  <c r="L10" i="8" s="1"/>
  <c r="L11" i="8" a="1"/>
  <c r="L11" i="8" s="1"/>
  <c r="L12" i="8" a="1"/>
  <c r="L12" i="8" s="1"/>
  <c r="L13" i="8" a="1"/>
  <c r="L13" i="8" s="1"/>
  <c r="L14" i="8" a="1"/>
  <c r="L14" i="8" s="1"/>
  <c r="L15" i="8" a="1"/>
  <c r="L15" i="8" s="1"/>
  <c r="L16" i="8" a="1"/>
  <c r="L16" i="8" s="1"/>
  <c r="L17" i="8" a="1"/>
  <c r="L17" i="8" s="1"/>
  <c r="L18" i="8" a="1"/>
  <c r="L18" i="8" s="1"/>
  <c r="L19" i="8" a="1"/>
  <c r="L19" i="8" s="1"/>
  <c r="L20" i="8" a="1"/>
  <c r="L20" i="8" s="1"/>
  <c r="L21" i="8" a="1"/>
  <c r="L21" i="8" s="1"/>
  <c r="L22" i="8" a="1"/>
  <c r="L22" i="8" s="1"/>
  <c r="L23" i="8" a="1"/>
  <c r="L23" i="8" s="1"/>
  <c r="L24" i="8" a="1"/>
  <c r="L24" i="8" s="1"/>
  <c r="L25" i="8" a="1"/>
  <c r="L25" i="8" s="1"/>
  <c r="L26" i="8" a="1"/>
  <c r="L26" i="8" s="1"/>
  <c r="L27" i="8" a="1"/>
  <c r="L27" i="8" s="1"/>
  <c r="L28" i="8" a="1"/>
  <c r="L28" i="8" s="1"/>
  <c r="L29" i="8" a="1"/>
  <c r="L29" i="8" s="1"/>
  <c r="L30" i="8" a="1"/>
  <c r="L30" i="8" s="1"/>
  <c r="L31" i="8" a="1"/>
  <c r="L31" i="8" s="1"/>
  <c r="L32" i="8" a="1"/>
  <c r="L32" i="8" s="1"/>
  <c r="L33" i="8" a="1"/>
  <c r="L33" i="8" s="1"/>
  <c r="L34" i="8" a="1"/>
  <c r="L34" i="8" s="1"/>
  <c r="L4" i="8" a="1"/>
  <c r="L4" i="8" s="1"/>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4" i="8"/>
  <c r="L39"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tc={CD1F016B-8BCB-4555-B564-238903CE3FBA}</author>
    <author>Benjamin R. Lampe</author>
  </authors>
  <commentList>
    <comment ref="I33" authorId="0" shapeId="0" xr:uid="{CD1F016B-8BCB-4555-B564-238903CE3FBA}">
      <text>
        <t>[Threaded comment]
Your version of Excel allows you to read this threaded comment; however, any edits to it will get removed if the file is opened in a newer version of Excel. Learn more: https://go.microsoft.com/fwlink/?linkid=870924
Comment:
    Add some clarification, that this should not be confused with residential applications.</t>
      </text>
    </comment>
    <comment ref="A45" authorId="1" shapeId="0" xr:uid="{6EE6A865-FAF1-4CE3-9007-C40ADA005776}">
      <text>
        <r>
          <rPr>
            <b/>
            <sz val="9"/>
            <color indexed="81"/>
            <rFont val="Tahoma"/>
            <family val="2"/>
          </rPr>
          <t>Benjamin R. Lampe:</t>
        </r>
        <r>
          <rPr>
            <sz val="9"/>
            <color indexed="81"/>
            <rFont val="Tahoma"/>
            <family val="2"/>
          </rPr>
          <t xml:space="preserve">
https://electricityplans.com/load-factor-commercial-demand-charges/</t>
        </r>
      </text>
    </comment>
    <comment ref="D45" authorId="1" shapeId="0" xr:uid="{43E42BCB-157B-4313-9545-E8BD0C036DA8}">
      <text>
        <r>
          <rPr>
            <b/>
            <sz val="9"/>
            <color indexed="81"/>
            <rFont val="Tahoma"/>
            <family val="2"/>
          </rPr>
          <t>Benjamin R. Lampe:</t>
        </r>
        <r>
          <rPr>
            <sz val="9"/>
            <color indexed="81"/>
            <rFont val="Tahoma"/>
            <family val="2"/>
          </rPr>
          <t xml:space="preserve">
Used 914kWh, averge monthly electricity consumption for a US residential utility customer (https://www.bing.com/ck/a?!&amp;&amp;p=d16830636dd383edJmltdHM9MTcwODMwMDgwMCZpZ3VpZD0xZDI3MTYzZS00M2Q4LTZjODYtMTU1Ny0wNWE2NDI2YjZkZmImaW5zaWQ9NTUyOA&amp;ptn=3&amp;ver=2&amp;hsh=3&amp;fclid=1d27163e-43d8-6c86-1557-05a6426b6dfb&amp;psq=Average+kWh+per+household+per+month&amp;u=a1aHR0cHM6Ly93d3cuc2t5c3RyZWFtZW5lcmd5LmNvbS9ob3ctbWFueS1rd2gtaXMtbm9ybWFsLWluLWEtbW9udGgv&amp;ntb=1)</t>
        </r>
      </text>
    </comment>
    <comment ref="D47" authorId="1" shapeId="0" xr:uid="{3D40F86B-512D-4DB2-8B80-ACAF7A09CD1D}">
      <text>
        <r>
          <rPr>
            <b/>
            <sz val="9"/>
            <color indexed="81"/>
            <rFont val="Tahoma"/>
            <family val="2"/>
          </rPr>
          <t>Benjamin R. Lampe:</t>
        </r>
        <r>
          <rPr>
            <sz val="9"/>
            <color indexed="81"/>
            <rFont val="Tahoma"/>
            <family val="2"/>
          </rPr>
          <t xml:space="preserve">
Used 914kWh, averge monthly electricity consumption for a US residential utility customer (https://www.bing.com/ck/a?!&amp;&amp;p=d16830636dd383edJmltdHM9MTcwODMwMDgwMCZpZ3VpZD0xZDI3MTYzZS00M2Q4LTZjODYtMTU1Ny0wNWE2NDI2YjZkZmImaW5zaWQ9NTUyOA&amp;ptn=3&amp;ver=2&amp;hsh=3&amp;fclid=1d27163e-43d8-6c86-1557-05a6426b6dfb&amp;psq=Average+kWh+per+household+per+month&amp;u=a1aHR0cHM6Ly93d3cuc2t5c3RyZWFtZW5lcmd5LmNvbS9ob3ctbWFueS1rd2gtaXMtbm9ybWFsLWluLWEtbW9udGgv&amp;ntb=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Benjamin R. Lampe</author>
  </authors>
  <commentList>
    <comment ref="O2" authorId="0" shapeId="0" xr:uid="{118A9E01-5E64-459F-B17D-4B1D4F1A4BC4}">
      <text>
        <r>
          <rPr>
            <b/>
            <sz val="9"/>
            <color indexed="81"/>
            <rFont val="Tahoma"/>
            <family val="2"/>
          </rPr>
          <t>Benjamin R. Lampe:</t>
        </r>
        <r>
          <rPr>
            <sz val="9"/>
            <color indexed="81"/>
            <rFont val="Tahoma"/>
            <family val="2"/>
          </rPr>
          <t xml:space="preserve">
The basic electrochemical unit used to store electrical energy in a battery. It consists of an anode, cathode, electrolyte, and separator.</t>
        </r>
      </text>
    </comment>
    <comment ref="O3" authorId="0" shapeId="0" xr:uid="{415D5A47-3F7E-42EB-89CD-3289332DBA15}">
      <text>
        <r>
          <rPr>
            <b/>
            <sz val="9"/>
            <color indexed="81"/>
            <rFont val="Tahoma"/>
            <family val="2"/>
          </rPr>
          <t>Benjamin R. Lampe:</t>
        </r>
        <r>
          <rPr>
            <sz val="9"/>
            <color indexed="81"/>
            <rFont val="Tahoma"/>
            <family val="2"/>
          </rPr>
          <t xml:space="preserve">
A grouping of battery cells connected together, typically in series and/or parallel, to achieve the desired voltage and capacity for a particular application.</t>
        </r>
      </text>
    </comment>
    <comment ref="O4" authorId="0" shapeId="0" xr:uid="{37D149B7-4B91-437B-93F4-94C8AC13021B}">
      <text>
        <r>
          <rPr>
            <b/>
            <sz val="9"/>
            <color indexed="81"/>
            <rFont val="Tahoma"/>
            <family val="2"/>
          </rPr>
          <t>Benjamin R. Lampe:</t>
        </r>
        <r>
          <rPr>
            <sz val="9"/>
            <color indexed="81"/>
            <rFont val="Tahoma"/>
            <family val="2"/>
          </rPr>
          <t xml:space="preserve">
Multiple battery modules assembled together with necessary electronic controls, cooling systems, and casing to form a complete energy storage system.</t>
        </r>
      </text>
    </comment>
    <comment ref="O5" authorId="0" shapeId="0" xr:uid="{BFE62189-80CB-43C2-8A54-5076EB6200DB}">
      <text>
        <r>
          <rPr>
            <b/>
            <sz val="9"/>
            <color indexed="81"/>
            <rFont val="Tahoma"/>
            <family val="2"/>
          </rPr>
          <t>Benjamin R. Lampe:</t>
        </r>
        <r>
          <rPr>
            <sz val="9"/>
            <color indexed="81"/>
            <rFont val="Tahoma"/>
            <family val="2"/>
          </rPr>
          <t xml:space="preserve">
A printed circuit board (PCB) that facilitates communication and control signals between the battery management system (BMS) and individual battery cells or modules.</t>
        </r>
      </text>
    </comment>
    <comment ref="O6" authorId="0" shapeId="0" xr:uid="{8573873B-B00B-4C6D-97DE-BE53DA71EBEF}">
      <text>
        <r>
          <rPr>
            <b/>
            <sz val="9"/>
            <color indexed="81"/>
            <rFont val="Tahoma"/>
            <family val="2"/>
          </rPr>
          <t>Benjamin R. Lampe:</t>
        </r>
        <r>
          <rPr>
            <sz val="9"/>
            <color indexed="81"/>
            <rFont val="Tahoma"/>
            <family val="2"/>
          </rPr>
          <t xml:space="preserve">
The central processing unit of a battery management system that oversees the functions of the BMS, such as monitoring cell voltages, state of charge, state of health, temperature, and balancing cell states within the battery pack.</t>
        </r>
      </text>
    </comment>
    <comment ref="O7" authorId="0" shapeId="0" xr:uid="{07E78F8F-4D8B-46E1-A353-D4C46D178388}">
      <text>
        <r>
          <rPr>
            <b/>
            <sz val="9"/>
            <color indexed="81"/>
            <rFont val="Tahoma"/>
            <family val="2"/>
          </rPr>
          <t>Benjamin R. Lampe:</t>
        </r>
        <r>
          <rPr>
            <sz val="9"/>
            <color indexed="81"/>
            <rFont val="Tahoma"/>
            <family val="2"/>
          </rPr>
          <t xml:space="preserve">
Devices that collect data on various parameters such as temperature, voltage, and current of battery cells or modules, used by the BMS to ensure safe and efficient operation.</t>
        </r>
      </text>
    </comment>
    <comment ref="O8" authorId="0" shapeId="0" xr:uid="{45391F01-4EEF-4A87-9E52-6C5D84B099D9}">
      <text>
        <r>
          <rPr>
            <b/>
            <sz val="9"/>
            <color indexed="81"/>
            <rFont val="Tahoma"/>
            <family val="2"/>
          </rPr>
          <t>Benjamin R. Lampe:</t>
        </r>
        <r>
          <rPr>
            <sz val="9"/>
            <color indexed="81"/>
            <rFont val="Tahoma"/>
            <family val="2"/>
          </rPr>
          <t xml:space="preserve">
Systems and methods used to control the temperature of a battery cell, module, or pack to maintain optimal performance and safety.</t>
        </r>
      </text>
    </comment>
    <comment ref="O9" authorId="0" shapeId="0" xr:uid="{99BC6694-A0EF-43C3-BE35-51D7CCE1630C}">
      <text>
        <r>
          <rPr>
            <b/>
            <sz val="9"/>
            <color indexed="81"/>
            <rFont val="Tahoma"/>
            <family val="2"/>
          </rPr>
          <t>Benjamin R. Lampe:</t>
        </r>
        <r>
          <rPr>
            <sz val="9"/>
            <color indexed="81"/>
            <rFont val="Tahoma"/>
            <family val="2"/>
          </rPr>
          <t xml:space="preserve">
Specific thermal management for racks or shelves in a container where battery modules or packs are mounted, ensuring temperature is maintained within safe and efficient operating limits.</t>
        </r>
      </text>
    </comment>
    <comment ref="O10" authorId="0" shapeId="0" xr:uid="{D52D3BED-ED1A-4F32-B5C1-8808B1003171}">
      <text>
        <r>
          <rPr>
            <b/>
            <sz val="9"/>
            <color indexed="81"/>
            <rFont val="Tahoma"/>
            <family val="2"/>
          </rPr>
          <t>Benjamin R. Lampe:</t>
        </r>
        <r>
          <rPr>
            <sz val="9"/>
            <color indexed="81"/>
            <rFont val="Tahoma"/>
            <family val="2"/>
          </rPr>
          <t xml:space="preserve">
Thermal management systems designed for the power conversion system and battery racks housed within a container, maintaining appropriate temperature and environmental conditions.</t>
        </r>
      </text>
    </comment>
    <comment ref="O11" authorId="0" shapeId="0" xr:uid="{CB0C95C6-8D26-4112-9A8C-3ECED5FE48CF}">
      <text>
        <r>
          <rPr>
            <b/>
            <sz val="9"/>
            <color indexed="81"/>
            <rFont val="Tahoma"/>
            <family val="2"/>
          </rPr>
          <t>Benjamin R. Lampe:</t>
        </r>
        <r>
          <rPr>
            <sz val="9"/>
            <color indexed="81"/>
            <rFont val="Tahoma"/>
            <family val="2"/>
          </rPr>
          <t xml:space="preserve">
Systems and protocols designed to prevent, detect, and suppress fires, specifically tailored to the unique risks associated with battery energy storage systems.</t>
        </r>
      </text>
    </comment>
    <comment ref="O12" authorId="0" shapeId="0" xr:uid="{FE889E01-B9EE-49F8-AA6D-72DFE83E9F7B}">
      <text>
        <r>
          <rPr>
            <b/>
            <sz val="9"/>
            <color indexed="81"/>
            <rFont val="Tahoma"/>
            <family val="2"/>
          </rPr>
          <t>Benjamin R. Lampe:</t>
        </r>
        <r>
          <rPr>
            <sz val="9"/>
            <color indexed="81"/>
            <rFont val="Tahoma"/>
            <family val="2"/>
          </rPr>
          <t xml:space="preserve">
A power electronic device that converts direct current (DC) from batteries or other DC sources into alternating current (AC) for use in electrical grids or equipment.</t>
        </r>
      </text>
    </comment>
    <comment ref="O13" authorId="0" shapeId="0" xr:uid="{DD6B111F-3C12-4EEB-9D79-CE832F516328}">
      <text>
        <r>
          <rPr>
            <b/>
            <sz val="9"/>
            <color indexed="81"/>
            <rFont val="Tahoma"/>
            <family val="2"/>
          </rPr>
          <t>Benjamin R. Lampe:</t>
        </r>
        <r>
          <rPr>
            <sz val="9"/>
            <color indexed="81"/>
            <rFont val="Tahoma"/>
            <family val="2"/>
          </rPr>
          <t xml:space="preserve">
The computer server component of a Supervisory Control And Data Acquisition (SCADA) system within the EMS, which monitors and controls the microgrid processes remotely.</t>
        </r>
      </text>
    </comment>
    <comment ref="O14" authorId="0" shapeId="0" xr:uid="{A05343AF-85DE-4AAE-B506-8936E062A77D}">
      <text>
        <r>
          <rPr>
            <b/>
            <sz val="9"/>
            <color indexed="81"/>
            <rFont val="Tahoma"/>
            <family val="2"/>
          </rPr>
          <t>Benjamin R. Lampe:</t>
        </r>
        <r>
          <rPr>
            <sz val="9"/>
            <color indexed="81"/>
            <rFont val="Tahoma"/>
            <family val="2"/>
          </rPr>
          <t xml:space="preserve">
Local Human-Machine Interface, which provides a user interface to monitor and control equipment at the site and may allow for use with or without the need for remote access.</t>
        </r>
      </text>
    </comment>
    <comment ref="O15" authorId="0" shapeId="0" xr:uid="{8C4F2DC2-DDD1-4FF7-A8CF-7F862D57A31E}">
      <text>
        <r>
          <rPr>
            <b/>
            <sz val="9"/>
            <color indexed="81"/>
            <rFont val="Tahoma"/>
            <family val="2"/>
          </rPr>
          <t>Benjamin R. Lampe:</t>
        </r>
        <r>
          <rPr>
            <sz val="9"/>
            <color indexed="81"/>
            <rFont val="Tahoma"/>
            <family val="2"/>
          </rPr>
          <t xml:space="preserve">
Battery Energy Storage System (BESS) Controller, a device and/or software that manages the charging and discharging of a battery storage system to optimize performance and longevity.</t>
        </r>
      </text>
    </comment>
    <comment ref="O16" authorId="0" shapeId="0" xr:uid="{BC3A9189-0977-4285-B77E-9E1D5A6C10BD}">
      <text>
        <r>
          <rPr>
            <b/>
            <sz val="9"/>
            <color indexed="81"/>
            <rFont val="Tahoma"/>
            <family val="2"/>
          </rPr>
          <t>Benjamin R. Lampe:</t>
        </r>
        <r>
          <rPr>
            <sz val="9"/>
            <color indexed="81"/>
            <rFont val="Tahoma"/>
            <family val="2"/>
          </rPr>
          <t xml:space="preserve">
A device and/or system that manages and coordinates the operation of various components/energy sources within an energy site, possibly including generation, storage, and load management.</t>
        </r>
      </text>
    </comment>
    <comment ref="O17" authorId="0" shapeId="0" xr:uid="{012CD379-AD14-482F-AA04-70D5F0870536}">
      <text>
        <r>
          <rPr>
            <b/>
            <sz val="9"/>
            <color indexed="81"/>
            <rFont val="Tahoma"/>
            <family val="2"/>
          </rPr>
          <t>Benjamin R. Lampe:</t>
        </r>
        <r>
          <rPr>
            <sz val="9"/>
            <color indexed="81"/>
            <rFont val="Tahoma"/>
            <family val="2"/>
          </rPr>
          <t xml:space="preserve">
A device that measures and reports the flow of energy into and out of a battery storage system.</t>
        </r>
      </text>
    </comment>
    <comment ref="O18" authorId="0" shapeId="0" xr:uid="{7CA5CAA0-0DDF-4CB1-AB4F-810B68E99827}">
      <text>
        <r>
          <rPr>
            <b/>
            <sz val="9"/>
            <color indexed="81"/>
            <rFont val="Tahoma"/>
            <family val="2"/>
          </rPr>
          <t>Benjamin R. Lampe:</t>
        </r>
        <r>
          <rPr>
            <sz val="9"/>
            <color indexed="81"/>
            <rFont val="Tahoma"/>
            <family val="2"/>
          </rPr>
          <t xml:space="preserve">
A metering device that measures the energy consumption of a specific site or the energy drawn by a specific load.</t>
        </r>
      </text>
    </comment>
    <comment ref="O19" authorId="0" shapeId="0" xr:uid="{79288CB3-2D1E-40AD-8D97-DA33496F15DE}">
      <text>
        <r>
          <rPr>
            <b/>
            <sz val="9"/>
            <color indexed="81"/>
            <rFont val="Tahoma"/>
            <family val="2"/>
          </rPr>
          <t>Benjamin R. Lampe:</t>
        </r>
        <r>
          <rPr>
            <sz val="9"/>
            <color indexed="81"/>
            <rFont val="Tahoma"/>
            <family val="2"/>
          </rPr>
          <t xml:space="preserve">
Hardware that connects devices on a local area network (LAN) by using packet switching to receive, process, and forward data to the destination device. BESS Network is private to the BESS Energy Source.</t>
        </r>
      </text>
    </comment>
    <comment ref="O20" authorId="0" shapeId="0" xr:uid="{F77EFA0E-CE7D-4CC0-9791-ECBE2B676C4B}">
      <text>
        <r>
          <rPr>
            <b/>
            <sz val="9"/>
            <color indexed="81"/>
            <rFont val="Tahoma"/>
            <family val="2"/>
          </rPr>
          <t>Benjamin R. Lampe:</t>
        </r>
        <r>
          <rPr>
            <sz val="9"/>
            <color indexed="81"/>
            <rFont val="Tahoma"/>
            <family val="2"/>
          </rPr>
          <t xml:space="preserve">
Hardware that connects devices on a local area network (LAN) by using packet switching to receive, process, and forward data to the destination device. Site Network interconnects devices across available Energy Sources and local EMS service at a Site Installation.</t>
        </r>
      </text>
    </comment>
    <comment ref="O21" authorId="0" shapeId="0" xr:uid="{9F9F1B13-F496-462B-BDCA-10A220512085}">
      <text>
        <r>
          <rPr>
            <b/>
            <sz val="9"/>
            <color indexed="81"/>
            <rFont val="Tahoma"/>
            <family val="2"/>
          </rPr>
          <t>Benjamin R. Lampe:</t>
        </r>
        <r>
          <rPr>
            <sz val="9"/>
            <color indexed="81"/>
            <rFont val="Tahoma"/>
            <family val="2"/>
          </rPr>
          <t xml:space="preserve">
A network security system that monitors and controls incoming and outgoing network traffic based on predetermined security rules.</t>
        </r>
      </text>
    </comment>
    <comment ref="O22" authorId="0" shapeId="0" xr:uid="{4A6A5B82-0251-41F3-827D-73239EDE4B33}">
      <text>
        <r>
          <rPr>
            <b/>
            <sz val="9"/>
            <color indexed="81"/>
            <rFont val="Tahoma"/>
            <family val="2"/>
          </rPr>
          <t>Benjamin R. Lampe:</t>
        </r>
        <r>
          <rPr>
            <sz val="9"/>
            <color indexed="81"/>
            <rFont val="Tahoma"/>
            <family val="2"/>
          </rPr>
          <t xml:space="preserve">
A networking device that forwards data packets between local area networks (LANs), routing traffic on the internet or within a private network.</t>
        </r>
      </text>
    </comment>
    <comment ref="O23" authorId="0" shapeId="0" xr:uid="{BA1A114A-49B0-4780-991C-60CC88024641}">
      <text>
        <r>
          <rPr>
            <b/>
            <sz val="9"/>
            <color indexed="81"/>
            <rFont val="Tahoma"/>
            <family val="2"/>
          </rPr>
          <t>Benjamin R. Lampe:</t>
        </r>
        <r>
          <rPr>
            <sz val="9"/>
            <color indexed="81"/>
            <rFont val="Tahoma"/>
            <family val="2"/>
          </rPr>
          <t xml:space="preserve">
A modem designed to connect to a cellular network, providing internet connectivity to devices.</t>
        </r>
      </text>
    </comment>
    <comment ref="O24" authorId="0" shapeId="0" xr:uid="{EF01E30C-7782-4731-8641-D3058DEAC748}">
      <text>
        <r>
          <rPr>
            <b/>
            <sz val="9"/>
            <color indexed="81"/>
            <rFont val="Tahoma"/>
            <family val="2"/>
          </rPr>
          <t>Benjamin R. Lampe:</t>
        </r>
        <r>
          <rPr>
            <sz val="9"/>
            <color indexed="81"/>
            <rFont val="Tahoma"/>
            <family val="2"/>
          </rPr>
          <t xml:space="preserve">
A safety device consisting of a strip of wire that melts and breaks an electric circuit if the current exceeds a safe level.</t>
        </r>
      </text>
    </comment>
    <comment ref="O25" authorId="0" shapeId="0" xr:uid="{452831FE-4F0C-4F0C-9A2B-B98B090DB3BE}">
      <text>
        <r>
          <rPr>
            <b/>
            <sz val="9"/>
            <color indexed="81"/>
            <rFont val="Tahoma"/>
            <family val="2"/>
          </rPr>
          <t>Benjamin R. Lampe:</t>
        </r>
        <r>
          <rPr>
            <sz val="9"/>
            <color indexed="81"/>
            <rFont val="Tahoma"/>
            <family val="2"/>
          </rPr>
          <t xml:space="preserve">
An automatically operated or protective relay-triggered electrical switch designed to protect an electrical circuit from damage caused by excess current from an overload or short circuit.</t>
        </r>
      </text>
    </comment>
    <comment ref="O26" authorId="0" shapeId="0" xr:uid="{05D5BEE8-BB12-4523-88F0-D5C60BBA7C7C}">
      <text>
        <r>
          <rPr>
            <b/>
            <sz val="9"/>
            <color indexed="81"/>
            <rFont val="Tahoma"/>
            <family val="2"/>
          </rPr>
          <t>Benjamin R. Lampe:</t>
        </r>
        <r>
          <rPr>
            <sz val="9"/>
            <color indexed="81"/>
            <rFont val="Tahoma"/>
            <family val="2"/>
          </rPr>
          <t xml:space="preserve">
An electrical device that transfers electrical energy between two or more circuits through electromagnetic induction, typically used to increase (step up) or decrease (step down) voltage levels. Control Power is meant to provide 120-240VAC power for local device operations.</t>
        </r>
      </text>
    </comment>
    <comment ref="O27" authorId="0" shapeId="0" xr:uid="{520265C2-7044-4230-9A97-3551383A32D0}">
      <text>
        <r>
          <rPr>
            <b/>
            <sz val="9"/>
            <color indexed="81"/>
            <rFont val="Tahoma"/>
            <family val="2"/>
          </rPr>
          <t>Benjamin R. Lampe:</t>
        </r>
        <r>
          <rPr>
            <sz val="9"/>
            <color indexed="81"/>
            <rFont val="Tahoma"/>
            <family val="2"/>
          </rPr>
          <t xml:space="preserve">
An electrical device that transfers electrical energy between two or more circuits through electromagnetic induction, typically used to increase (step up) or decrease (step down) voltage levels. Local Power is usually 480V and may or may not be multiple phases.</t>
        </r>
      </text>
    </comment>
    <comment ref="O28" authorId="0" shapeId="0" xr:uid="{01EF6CB3-7FCF-4DC5-A29A-8686391E857B}">
      <text>
        <r>
          <rPr>
            <b/>
            <sz val="9"/>
            <color indexed="81"/>
            <rFont val="Tahoma"/>
            <family val="2"/>
          </rPr>
          <t>Benjamin R. Lampe:</t>
        </r>
        <r>
          <rPr>
            <sz val="9"/>
            <color indexed="81"/>
            <rFont val="Tahoma"/>
            <family val="2"/>
          </rPr>
          <t xml:space="preserve">
An electrical device that transfers electrical energy between two or more circuits through electromagnetic induction, typically used to increase (step up) or decrease (step down) voltage levels. Utility power is usually 13kv+ and may or may not be multiple phases.</t>
        </r>
      </text>
    </comment>
    <comment ref="O29" authorId="0" shapeId="0" xr:uid="{47ED10DB-C1E9-4A4E-B4AC-EE68C533C1C4}">
      <text>
        <r>
          <rPr>
            <b/>
            <sz val="9"/>
            <color indexed="81"/>
            <rFont val="Tahoma"/>
            <family val="2"/>
          </rPr>
          <t>Benjamin R. Lampe:</t>
        </r>
        <r>
          <rPr>
            <sz val="9"/>
            <color indexed="81"/>
            <rFont val="Tahoma"/>
            <family val="2"/>
          </rPr>
          <t xml:space="preserve">
An assembly of electrical disconnects, fuses, or circuit breakers used to control, protect, and isolate electrical equipment for maintenance and to clear faults. Local switchgear is used between energy sources and local loads present at the microgrid site location.</t>
        </r>
      </text>
    </comment>
    <comment ref="O30" authorId="0" shapeId="0" xr:uid="{B2451878-A4C1-4D79-B418-CBBE82D98B50}">
      <text>
        <r>
          <rPr>
            <b/>
            <sz val="9"/>
            <color indexed="81"/>
            <rFont val="Tahoma"/>
            <family val="2"/>
          </rPr>
          <t>Benjamin R. Lampe:</t>
        </r>
        <r>
          <rPr>
            <sz val="9"/>
            <color indexed="81"/>
            <rFont val="Tahoma"/>
            <family val="2"/>
          </rPr>
          <t xml:space="preserve">
An assembly of electrical disconnects, fuses, or circuit breakers used to control, protect, and isolate electrical equipment for maintenance and to clear faults. Utility switchgear is used at the interface between the Microgrid Site Location and the Utility grid.</t>
        </r>
      </text>
    </comment>
    <comment ref="O31" authorId="0" shapeId="0" xr:uid="{70C5DA87-C50A-47CA-B90E-55ECD1B5B961}">
      <text>
        <r>
          <rPr>
            <b/>
            <sz val="9"/>
            <color indexed="81"/>
            <rFont val="Tahoma"/>
            <family val="2"/>
          </rPr>
          <t>Benjamin R. Lampe:</t>
        </r>
        <r>
          <rPr>
            <sz val="9"/>
            <color indexed="81"/>
            <rFont val="Tahoma"/>
            <family val="2"/>
          </rPr>
          <t xml:space="preserve">
An automatic, high-voltage electric switch that can interrupt fault currents and automatically restore service after a brief outage, without human intervention.</t>
        </r>
      </text>
    </comment>
    <comment ref="O32" authorId="0" shapeId="0" xr:uid="{D259954A-DC3C-427D-AF34-C31C3C53A13B}">
      <text>
        <r>
          <rPr>
            <b/>
            <sz val="9"/>
            <color indexed="81"/>
            <rFont val="Tahoma"/>
            <family val="2"/>
          </rPr>
          <t>Benjamin R. Lampe:</t>
        </r>
        <r>
          <rPr>
            <sz val="9"/>
            <color indexed="81"/>
            <rFont val="Tahoma"/>
            <family val="2"/>
          </rPr>
          <t xml:space="preserve">
A system that detects faults in a power system and triggers circuit breakers to interrupt the flow of electricity and prevent damage to equipment or hazards.</t>
        </r>
      </text>
    </comment>
    <comment ref="O33" authorId="0" shapeId="0" xr:uid="{5B964E9F-A508-4345-A621-F5BDE1A62B46}">
      <text>
        <r>
          <rPr>
            <b/>
            <sz val="9"/>
            <color indexed="81"/>
            <rFont val="Tahoma"/>
            <family val="2"/>
          </rPr>
          <t>Benjamin R. Lampe:</t>
        </r>
        <r>
          <rPr>
            <sz val="9"/>
            <color indexed="81"/>
            <rFont val="Tahoma"/>
            <family val="2"/>
          </rPr>
          <t xml:space="preserve">
An electrical meter that measures the production of electricity by a generator, commonly used for billing and monitoring purposes.</t>
        </r>
      </text>
    </comment>
    <comment ref="O34" authorId="0" shapeId="0" xr:uid="{9E44F5E6-17BE-49DA-A968-FF088DEE0B29}">
      <text>
        <r>
          <rPr>
            <b/>
            <sz val="9"/>
            <color indexed="81"/>
            <rFont val="Tahoma"/>
            <family val="2"/>
          </rPr>
          <t>Benjamin R. Lampe:</t>
        </r>
        <r>
          <rPr>
            <sz val="9"/>
            <color indexed="81"/>
            <rFont val="Tahoma"/>
            <family val="2"/>
          </rPr>
          <t xml:space="preserve">
A highly accurate type of meter used for commercial billing purposes, as it meets certain standards for precision in measuring energy consumption or generation.</t>
        </r>
      </text>
    </comment>
    <comment ref="O35" authorId="0" shapeId="0" xr:uid="{79153D57-63D8-458C-8FE8-3AFBF2691026}">
      <text>
        <r>
          <rPr>
            <b/>
            <sz val="9"/>
            <color indexed="81"/>
            <rFont val="Tahoma"/>
            <family val="2"/>
          </rPr>
          <t>Benjamin R. Lampe:</t>
        </r>
        <r>
          <rPr>
            <sz val="9"/>
            <color indexed="81"/>
            <rFont val="Tahoma"/>
            <family val="2"/>
          </rPr>
          <t xml:space="preserve">
The origin from which energy is derived to do work, such as solar, wind, hydroelectric, nuclear, coal, natural gas, or battery storage. Other Energy Sources represented in this tool is under active development.</t>
        </r>
      </text>
    </comment>
    <comment ref="O36" authorId="0" shapeId="0" xr:uid="{D3DB7912-2829-4755-ACC9-80D8973D75B0}">
      <text>
        <r>
          <rPr>
            <b/>
            <sz val="9"/>
            <color indexed="81"/>
            <rFont val="Tahoma"/>
            <family val="2"/>
          </rPr>
          <t>Benjamin R. Lampe:</t>
        </r>
        <r>
          <rPr>
            <sz val="9"/>
            <color indexed="81"/>
            <rFont val="Tahoma"/>
            <family val="2"/>
          </rPr>
          <t xml:space="preserve">
The origin from which energy is derived to do work, such as solar, wind, hydroelectric, nuclear, coal, natural gas, or battery storage. Other Energy Sources represented in this tool is under active development.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Benjamin Ruhlig Lampe</author>
  </authors>
  <commentList>
    <comment ref="D2" authorId="0" shapeId="0" xr:uid="{89DBE4CD-2AC3-4BD8-9051-130E7761E7F7}">
      <text>
        <r>
          <rPr>
            <b/>
            <sz val="9"/>
            <color indexed="81"/>
            <rFont val="Tahoma"/>
            <charset val="1"/>
          </rPr>
          <t>Benjamin Ruhlig Lampe:</t>
        </r>
        <r>
          <rPr>
            <sz val="9"/>
            <color indexed="81"/>
            <rFont val="Tahoma"/>
            <charset val="1"/>
          </rPr>
          <t xml:space="preserve">
The process of maintaining the balance between the grid's electricity supply and demand to keep the system frequency (50Hz/60Hz) within predetermined boundaries.</t>
        </r>
      </text>
    </comment>
    <comment ref="E2" authorId="0" shapeId="0" xr:uid="{5F382130-5CC5-44F0-855A-60F80C915DC5}">
      <text>
        <r>
          <rPr>
            <b/>
            <sz val="9"/>
            <color indexed="81"/>
            <rFont val="Tahoma"/>
            <charset val="1"/>
          </rPr>
          <t>Benjamin Ruhlig Lampe:</t>
        </r>
        <r>
          <rPr>
            <sz val="9"/>
            <color indexed="81"/>
            <rFont val="Tahoma"/>
            <charset val="1"/>
          </rPr>
          <t xml:space="preserve">
Refers to maintaining the voltage levels across the grid within acceptable limits to ensure the safe and efficient operation of equipment and to protect against voltage-related issues.</t>
        </r>
      </text>
    </comment>
    <comment ref="F2" authorId="0" shapeId="0" xr:uid="{648514FB-927B-41FA-A2D5-7DE84E5B33B9}">
      <text>
        <r>
          <rPr>
            <b/>
            <sz val="9"/>
            <color indexed="81"/>
            <rFont val="Tahoma"/>
            <charset val="1"/>
          </rPr>
          <t>Benjamin Ruhlig Lampe:</t>
        </r>
        <r>
          <rPr>
            <sz val="9"/>
            <color indexed="81"/>
            <rFont val="Tahoma"/>
            <charset val="1"/>
          </rPr>
          <t xml:space="preserve">
Ramping reserve refers to the ability of power generation units to increase or decrease their output quickly in response to changes in demand. Spinning reserve is the unused but readily available generation capacity that can be synchronized to the grid to meet the demand if an outage or sudden increase in power consumption occurs.</t>
        </r>
      </text>
    </comment>
    <comment ref="G2" authorId="0" shapeId="0" xr:uid="{DE5FDD0F-E8DC-4156-8ED0-B539899B32AF}">
      <text>
        <r>
          <rPr>
            <b/>
            <sz val="9"/>
            <color indexed="81"/>
            <rFont val="Tahoma"/>
            <charset val="1"/>
          </rPr>
          <t>Benjamin Ruhlig Lampe:</t>
        </r>
        <r>
          <rPr>
            <sz val="9"/>
            <color indexed="81"/>
            <rFont val="Tahoma"/>
            <charset val="1"/>
          </rPr>
          <t xml:space="preserve">
The capability of generation energy sources to adjust their output to match the variations in demand (load) throughout the day. Load-following sources ramp up or down to maintain the balance between supply and demand.</t>
        </r>
      </text>
    </comment>
    <comment ref="H2" authorId="0" shapeId="0" xr:uid="{23987319-D8D3-44CD-96AA-5B0A01DCEAAF}">
      <text>
        <r>
          <rPr>
            <b/>
            <sz val="9"/>
            <color indexed="81"/>
            <rFont val="Tahoma"/>
            <charset val="1"/>
          </rPr>
          <t>Benjamin Ruhlig Lampe:</t>
        </r>
        <r>
          <rPr>
            <sz val="9"/>
            <color indexed="81"/>
            <rFont val="Tahoma"/>
            <charset val="1"/>
          </rPr>
          <t xml:space="preserve">
A technique used to reduce the amount of energy purchased by the customer from the utility during peak demand periods. This can be achieved by using alternative energy sources or reducing consumption, thereby lowering energy costs and reducing strain on the grid.</t>
        </r>
      </text>
    </comment>
    <comment ref="I2" authorId="0" shapeId="0" xr:uid="{1EDE0450-7B53-4E5A-B406-A2B9193F3143}">
      <text>
        <r>
          <rPr>
            <b/>
            <sz val="9"/>
            <color indexed="81"/>
            <rFont val="Tahoma"/>
            <charset val="1"/>
          </rPr>
          <t>Benjamin Ruhlig Lampe:</t>
        </r>
        <r>
          <rPr>
            <sz val="9"/>
            <color indexed="81"/>
            <rFont val="Tahoma"/>
            <charset val="1"/>
          </rPr>
          <t xml:space="preserve">
An alternative power source that can be used when the main power source fails or is insufficient.</t>
        </r>
      </text>
    </comment>
    <comment ref="J2" authorId="0" shapeId="0" xr:uid="{2043D9B1-92C6-48AC-B77C-D203A292D4FD}">
      <text>
        <r>
          <rPr>
            <b/>
            <sz val="9"/>
            <color indexed="81"/>
            <rFont val="Tahoma"/>
            <charset val="1"/>
          </rPr>
          <t>Benjamin Ruhlig Lampe:</t>
        </r>
        <r>
          <rPr>
            <sz val="9"/>
            <color indexed="81"/>
            <rFont val="Tahoma"/>
            <charset val="1"/>
          </rPr>
          <t xml:space="preserve">
The procedure to recover from a total or partial shutdown of the power grid. It involves the use of certain energy sources that can start their own operations without external electric power, to gradually restore power to the grid.</t>
        </r>
      </text>
    </comment>
    <comment ref="K2" authorId="0" shapeId="0" xr:uid="{B1F5E140-A437-4A1D-A2D5-E4E5CFE73AFF}">
      <text>
        <r>
          <rPr>
            <b/>
            <sz val="9"/>
            <color indexed="81"/>
            <rFont val="Tahoma"/>
            <charset val="1"/>
          </rPr>
          <t>Benjamin Ruhlig Lampe:</t>
        </r>
        <r>
          <rPr>
            <sz val="9"/>
            <color indexed="81"/>
            <rFont val="Tahoma"/>
            <charset val="1"/>
          </rPr>
          <t xml:space="preserve">
The capability of a distributed energy resource to establish and maintain a stable electricity grid independently of the larger power network.</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<sst xmlns="http://schemas.openxmlformats.org/spreadsheetml/2006/main" count="2810" uniqueCount="469">
  <si>
    <t>Equipment</t>
  </si>
  <si>
    <t>Subsystem</t>
  </si>
  <si>
    <t>Battery Rack Subsystem</t>
  </si>
  <si>
    <t>Battery Cell(s)</t>
  </si>
  <si>
    <t>Battery Pack(s)</t>
  </si>
  <si>
    <t>Battery Module(s)</t>
  </si>
  <si>
    <t>Battery Management System (BMS) Subsystem</t>
  </si>
  <si>
    <t>Interface Board(s)</t>
  </si>
  <si>
    <t>Controller</t>
  </si>
  <si>
    <t>Sensor(s)</t>
  </si>
  <si>
    <t>Thermal Management System</t>
  </si>
  <si>
    <t>Fire Protection</t>
  </si>
  <si>
    <t>Power Conversion System (PCS)</t>
  </si>
  <si>
    <t>Inverter(s)</t>
  </si>
  <si>
    <t>Energy Management System (EMS)</t>
  </si>
  <si>
    <t>BESS Controller</t>
  </si>
  <si>
    <t>Site Controller</t>
  </si>
  <si>
    <t>Communication Subsystem</t>
  </si>
  <si>
    <t>BESS Network Switch(s)</t>
  </si>
  <si>
    <t>Site Network Switch(s)</t>
  </si>
  <si>
    <t>Security Firewall(s)</t>
  </si>
  <si>
    <t>Site Router(s)</t>
  </si>
  <si>
    <t>Electrical Delivery and Protection Subsystem</t>
  </si>
  <si>
    <t>AC Circuit Breaker(s)</t>
  </si>
  <si>
    <t>Recloser</t>
  </si>
  <si>
    <t>Fuses(s)</t>
  </si>
  <si>
    <t>Site/Load Meter(s)</t>
  </si>
  <si>
    <t>Yes</t>
  </si>
  <si>
    <t>No</t>
  </si>
  <si>
    <t>Applicable?</t>
  </si>
  <si>
    <t>Service</t>
  </si>
  <si>
    <t>Area of Effect</t>
  </si>
  <si>
    <t>BMS Subsystem</t>
  </si>
  <si>
    <t>TMS Subsystem</t>
  </si>
  <si>
    <t>PCS Subsystem</t>
  </si>
  <si>
    <t>EMS Subsystem</t>
  </si>
  <si>
    <t>Frequency Regulation</t>
  </si>
  <si>
    <t>Voltage Support</t>
  </si>
  <si>
    <t>Ramping or Spinning Reserve</t>
  </si>
  <si>
    <t>Load Following</t>
  </si>
  <si>
    <t>Peak Shaving</t>
  </si>
  <si>
    <t>Backup Power</t>
  </si>
  <si>
    <t>Black Start</t>
  </si>
  <si>
    <t>Island Grid Forming</t>
  </si>
  <si>
    <t>TOTAL</t>
  </si>
  <si>
    <t>Impacts</t>
  </si>
  <si>
    <t>Services</t>
  </si>
  <si>
    <t>Rating</t>
  </si>
  <si>
    <t>Highlight a group of checkboxes and click the space bar to toggle</t>
  </si>
  <si>
    <t>NOTE:</t>
  </si>
  <si>
    <t>Cell Modem</t>
  </si>
  <si>
    <t>Battery Thermal Regulation</t>
  </si>
  <si>
    <t>Rack Thermal Regulation</t>
  </si>
  <si>
    <t>Container Thermal Regulation</t>
  </si>
  <si>
    <t>SCADA Server</t>
  </si>
  <si>
    <t>Local HMI</t>
  </si>
  <si>
    <t>Battery Meter(s)</t>
  </si>
  <si>
    <t>Control Power Transformer</t>
  </si>
  <si>
    <t>Utility Power Level Transformer</t>
  </si>
  <si>
    <t>Local Power Level Transformer</t>
  </si>
  <si>
    <t>Local Power Level Switchgear</t>
  </si>
  <si>
    <t>Utility Power Level Switchgear</t>
  </si>
  <si>
    <t>Protection Relay(s)</t>
  </si>
  <si>
    <t>ID</t>
  </si>
  <si>
    <t>Rating Description</t>
  </si>
  <si>
    <t>Insignificant</t>
  </si>
  <si>
    <t>Minor</t>
  </si>
  <si>
    <t>Moderate</t>
  </si>
  <si>
    <t>Significant</t>
  </si>
  <si>
    <t>Severe</t>
  </si>
  <si>
    <t>Risk Acceptance Threshold</t>
  </si>
  <si>
    <t xml:space="preserve">Operational </t>
  </si>
  <si>
    <t>Financial</t>
  </si>
  <si>
    <t>Asset Damage or Loss</t>
  </si>
  <si>
    <t>Health and Safety</t>
  </si>
  <si>
    <t>Reputation and Brand</t>
  </si>
  <si>
    <t>The system failure  causes minor disruptions to operations, with minimal consequences for productivity or service delivery. Alternate measures or backup systems are readily available, and the impact is quickly mitigated with little to no lasting effects.</t>
  </si>
  <si>
    <t>The system failure leads to some disruptions in operations, resulting in minor delays or inconveniences for stakeholders. While there may be some temporary setbacks, the overall impact on productivity or service quality is manageable, and operations can resume relatively quickly.</t>
  </si>
  <si>
    <t>The system failure causes significant disruptions to operations, resulting in delays, downtime, or reduced efficiency. This leads to tangible impacts on productivity, customer satisfaction, or revenue generation, requiring concerted efforts to restore normalcy and address any resulting bottlenecks or backlogs.</t>
  </si>
  <si>
    <t>The system failure has a severe impact on operations, causing prolonged downtime, widespread disruptions, or major setbacks in productivity and service delivery. This results in significant financial losses, reputational damage, or regulatory non-compliance, requiring extensive resources and time to recover and rebuild trust with stakeholders.</t>
  </si>
  <si>
    <t>The system failure leads to a complete breakdown of operations, posing an existential threat to the organization's viability. This results in catastrophic consequences, such as bankruptcy, loss of market share, or irreparable damage to the organization's reputation and relationships with stakeholders. Recovery efforts are complex and challenging, with long-term implications for the organization's survival.</t>
  </si>
  <si>
    <t>Health and safety measures are effectively implemented, resulting in minimal incidents or risks to individuals' well-being. Any issues that arise are quickly addressed and have little to no lasting consequences.</t>
  </si>
  <si>
    <t>While health and safety measures are generally effective, there may be occasional incidents or minor risks that result in temporary disruptions or inconveniences. These incidents are manageable and do not pose a significant threat to individuals' health or safety.</t>
  </si>
  <si>
    <t>Health and safety incidents occur periodically, leading to noticeable disruptions or risks to individuals' well-being. These incidents may result in injuries, illnesses, or property damage, requiring intervention to mitigate the impact and prevent future occurrences.</t>
  </si>
  <si>
    <t>Health and safety incidents are frequent or severe, resulting in significant harm, injuries, or fatalities among individuals. These incidents disrupt operations, damage reputation, and may lead to legal liabilities or regulatory sanctions, necessitating urgent action to address underlying issues and improve safety protocols.</t>
  </si>
  <si>
    <t>Health and safety incidents have catastrophic consequences, posing an existential threat to individuals' lives or well-being. This results in widespread harm, multiple fatalities, or long-term health consequences, with severe repercussions for the organization's reputation, financial standing, and legal liabilities. Urgent and comprehensive measures are needed to prevent further harm and rebuild trust with stakeholders.</t>
  </si>
  <si>
    <t>The asset damage or loss has minimal consequences on other assets or functions within the organization. Alternate resources or backup systems are readily available, and the disruption is quickly contained without significant repercussions.</t>
  </si>
  <si>
    <t>The asset damage or loss leads to some disruptions or inefficiencies in other assets or functions that rely on it. While there may be some temporary setbacks or additional costs, the overall impact is manageable, and operations can resume relatively quickly with minimal lasting effects.</t>
  </si>
  <si>
    <t>The asset damage or loss results in noticeable disruptions or challenges for other assets or functions that depend on it. This may require additional resources or temporary workarounds to maintain operations, leading to increased costs, decreased productivity, or delays in achieving organizational objectives.</t>
  </si>
  <si>
    <t>The asset damage or loss causes significant disruptions or constraints for other assets or functions, amplifying the overall impact on the organization. This leads to prolonged downtime, increased expenses, or impaired ability to deliver products or services, resulting in tangible impacts on revenue, profitability, or stakeholder confidence.</t>
  </si>
  <si>
    <t>The asset damage or loss has catastrophic consequences for the organization, triggering a domino effect that severely impairs its ability to function or survive. This leads to widespread disruptions, substantial financial losses, or irreversible damage to infrastructure, capabilities, or stakeholder relationships. Recovery efforts are complex and may require extensive resources, with long-term implications for the organization's viability and competitiveness.</t>
  </si>
  <si>
    <t>The organization's reputation and brand are strong, positive, and well-regarded by stakeholders, resulting in widespread trust, loyalty, and support. Any issues that arise have minimal impact on the organization's image or standing in the eyes of its stakeholders, and the organization quickly recovers with little to no lasting consequences.</t>
  </si>
  <si>
    <t>While the organization's reputation and brand are generally positive, there may be occasional minor incidents or controversies that result in temporary setbacks or negative publicity. However, these issues are manageable and do not significantly erode stakeholder trust or confidence in the organization.</t>
  </si>
  <si>
    <t>The organization experiences periodic challenges or controversies that have noticeable impacts on its reputation and brand. These incidents may result in negative media coverage, public scrutiny, or criticism from stakeholders, leading to reputational damage, loss of trust, or decreased consumer confidence.</t>
  </si>
  <si>
    <t>The organization faces frequent or significant challenges that severely impact its reputation and brand. These incidents may involve scandals, crises, or ethical lapses that attract widespread negative attention, erode stakeholder trust, and damage the organization's credibility, resulting in financial losses, customer defections, or regulatory sanctions.</t>
  </si>
  <si>
    <t>The organization experiences catastrophic consequences that pose an existential threat to its reputation and brand. This may result from severe crises, public scandals, or systemic failures that trigger widespread condemnation, boycotts, legal liabilities, or regulatory interventions, requiring urgent and comprehensive measures to rebuild trust, restore credibility, and salvage the organization's viability and competitive position.</t>
  </si>
  <si>
    <t>The financial loss is relatively small and does not significantly affect the organization's overall financial stability or ability to meet its financial obligations. The loss may be easily absorbed by the organization's financial reserves or mitigated through cost-saving measures without significant long-term consequences.</t>
  </si>
  <si>
    <t>The financial loss leads to some reduction in profitability or financial resources, resulting in minor adjustments to operations or investments. While there may be some short-term challenges, the organization's financial position remains relatively stable, and recovery is feasible with moderate efforts.</t>
  </si>
  <si>
    <t>The financial loss is significant enough to cause noticeable disruptions to the organization's operations, financial performance, or growth prospects. This may require substantial adjustments to budgets, strategies, or resource allocation to mitigate the impact and restore financial stability.</t>
  </si>
  <si>
    <t>The financial loss has a severe impact on the organization's financial health, leading to substantial revenue declines, profit erosion, or liquidity constraints. This results in increased financial pressure, potential debt obligations, or stakeholder concerns, requiring urgent measures to address underlying issues and prevent further deterioration.</t>
  </si>
  <si>
    <t>The financial loss has catastrophic consequences for the organization, posing an existential threat to its survival or long-term viability. This may result from insolvency, bankruptcy, or default on financial obligations, triggering legal proceedings, credit rating downgrades, or loss of investor confidence. Recovery efforts are complex and may involve restructuring, asset sales, or external interventions to stabilize the organization's financial position and prevent complete collapse.</t>
  </si>
  <si>
    <t>Enabling Function Definition</t>
  </si>
  <si>
    <t>Enabling Function</t>
  </si>
  <si>
    <t>Engineering Analysis</t>
  </si>
  <si>
    <t>Cybersecurity Analysis</t>
  </si>
  <si>
    <t>Consequence Analysis</t>
  </si>
  <si>
    <t>Project Details</t>
  </si>
  <si>
    <t>Project Name:</t>
  </si>
  <si>
    <t>Project Details:</t>
  </si>
  <si>
    <t>Location Details</t>
  </si>
  <si>
    <t>Project Address:</t>
  </si>
  <si>
    <t>Contact Details</t>
  </si>
  <si>
    <t>Project Lead:</t>
  </si>
  <si>
    <t>Email:</t>
  </si>
  <si>
    <t>Phone:</t>
  </si>
  <si>
    <t>Selected</t>
  </si>
  <si>
    <t>Category</t>
  </si>
  <si>
    <t>Mitigation Name</t>
  </si>
  <si>
    <t>Engineered Controls</t>
  </si>
  <si>
    <t>Implement site access physical access controls, such as biometric authentication or keycard entry systems, or a simple lock and key.</t>
  </si>
  <si>
    <t>Utilize a physical key switch or a type of manual override that prevents unauthorized digital commands or updates in the component (i.e. PLC key switch keep in Run Mode to prevent PLC code changes unless physically present).</t>
  </si>
  <si>
    <t>Install perimeter fencing to prevent easy access to the system.</t>
  </si>
  <si>
    <t>Install Analog voltage regulators, such as tap changers or static voltage regulators, to provide the ability to adjust the voltage levels to within acceptable limits.</t>
  </si>
  <si>
    <t>Install an Analog protective relay or circuit breaker to detect abnormal conditions, such as short circuits or overloads, and thus isolate the affected sections of the microgrid to prevent cascading failures and contribute to grid stability. Analog protection relays could initiate the protective actions, such as tripping circuit breakers or disconnecting equipment, to prevent damage to the microgrid and ensure personnel safety.</t>
  </si>
  <si>
    <t>Install an Analog Temperature controller to regulate the operating temperature of the energy source and/or component, such as generators, transformers, and power electronics. This Analog temperature controller activates cooling or heating systems to maintain the temperature within specified limits, preventing overheating or excessive cooling that can affect performance and reliability.</t>
  </si>
  <si>
    <t>Install Thermal shutdown circuitry which includes sensors that monitor the temperature of key components, such as semiconductor devices (e.g., MOSFETs, IGBTs), transformers, or capacitors. When the temperature exceeds a predetermined threshold indicating overheating, the thermal shutdown circuitry activates and disconnects the power supply to prevent further temperature rise and potential damage.</t>
  </si>
  <si>
    <t>Install an Analog voltage regulation circuit to include temperature compensation features to maintain stable output voltage levels across varying temperature conditions. Temperature sensors integrated into the circuitry measure the ambient temperature, and the regulation circuit adjusts the output voltage accordingly to compensate for temperature-induced voltage variations.</t>
  </si>
  <si>
    <t>Install an Analog insulation monitoring circuit to detect insulation breakdown or leakage currents in the system. These circuits continuously monitor the insulation resistance between conductors and ground and trigger alarms or protective actions if abnormal leakage currents are detected.</t>
  </si>
  <si>
    <t>Install an Analog liquid level sensor (i.e., float switches, capacitance probes, or ultrasonic sensors) to monitor the level of liquids, such as coolant or dielectric fluids, within reservoirs or tanks. These sensors detect changes in liquid level and convert them into analog signals. The analog signals are processed by control circuitry to trigger protective actions, such as activating pumps or shutting down equipment, when the liquid level exceeds or falls below predetermined thresholds.</t>
  </si>
  <si>
    <t>Install an Analog low-level alarm system to alert operators when the liquid level in reservoirs or tanks falls below a safe operating range. Analog level sensors detect decreases in liquid level and would generate analog alarm signals, which then signal to control panels or annunciator panels. Upon receiving the alarm signals, operators can take corrective actions, such as refilling the reservoir or investigating potential leaks, to prevent equipment damage or system shutdowns due to inadequate liquid levels.</t>
  </si>
  <si>
    <t>Install an Analog liquid flow monitoring circuit to measure the rate of flow of liquids circulating through cooling or lubrication systems. This circuit utilizes flow sensors, such as paddlewheel or turbine flow meters, to generate analog signals proportional to the flow rate. By continuously monitoring the flow rate, the analog monitoring circuit can detect anomalies, such as low flow or blockages, which may indicate potential equipment damage or performance degradation. Protective actions, such as activating alarms or diverting flow to alternate paths, can be initiated based on the detected flow conditions.</t>
  </si>
  <si>
    <t>Install an Analog liquid temperature monitoring system to measure the temperature of liquids circulating through cooling or heating systems. This system employs analog temperature sensors, such as thermistors or resistance temperature detectors (RTDs), to monitor liquid temperatures. If the temperature exceeds predefined limits indicating overheating or freezing conditions, the analog monitoring circuit triggers protective actions, such as adjusting flow rates, activating heaters or chillers, or shutting down equipment.</t>
  </si>
  <si>
    <t>Secure Information Architecture</t>
  </si>
  <si>
    <t>Establish a direct communication link between the data source producer and data consumer to transmit process information.</t>
  </si>
  <si>
    <t>Switch the communication method for transmitting process information to a raw signal protocol, such as 4-20mA, HART, or Profibus.</t>
  </si>
  <si>
    <t>Deploy redundant sensors to monitor process information, ensuring multiple data checks for validation.</t>
  </si>
  <si>
    <t>Verify that redundant sensors offer independent validation of process information to the greatest extent possible.</t>
  </si>
  <si>
    <t>Install a physical switch to disable remote access to the Microgrid site.</t>
  </si>
  <si>
    <t>Install a physical switch to disable remote access to the component.</t>
  </si>
  <si>
    <t>Configure network traffic analysis rules for monitoring process information communications, identifying deviations from baseline behavior</t>
  </si>
  <si>
    <t>Provide training to personnel involved in operating, maintaining, and securing the system to recognize baseline behavior and expected values in the process information communication.</t>
  </si>
  <si>
    <t>Raising awareness about potential threats and the importance of adhering to security protocols and best practices.</t>
  </si>
  <si>
    <t>Develop procedures for data retention, archiving, and secure deletion to minimize the risk of unauthorized access to historic process information data.</t>
  </si>
  <si>
    <t>Design Simplification</t>
  </si>
  <si>
    <t>In instances where multiple contact numbers are associated with a single location, devise and execute strategies aimed at consolidating them into a singular contact number for efficient and streamlined response purposes.</t>
  </si>
  <si>
    <t>Active Defense</t>
  </si>
  <si>
    <t>Pre-defined procedures (i.e., isolating affected systems, implementing temporary operational changes, or initiating active defense measures) are in place and operations staff (i.e., operations personnel, engineering teams, maintenance staff, and security personnel both internally and externally) are trained to respond to precursor events (i.e., abnormal fluctuations in process parameters, equipment malfunctions, or unusual system behavior).</t>
  </si>
  <si>
    <t>Simulation, Scenario-based testing, and operational exercises such as Tabletop or training events are utilized to ensure the correct response and execution of procedures, particularly when they entail external interactions with the system, such as engagement with vendors, contractors, regulatory agencies, or emergency response teams. In addition, these events assess their impact on operations and their effectiveness in mitigating threats.</t>
  </si>
  <si>
    <t>Inspections are performed at the Microgrid location looking for indications or precursor events to component failure as an effect of digital failure or sabotage activities.</t>
  </si>
  <si>
    <t>System monitoring employs event triggers designed to activate active defense measures.</t>
  </si>
  <si>
    <t>System operators are made aware of triggers to temporarily change operations in response to perceived threats through training, communication protocols, and predefined response procedures.</t>
  </si>
  <si>
    <t>Documented responsibility and accountability for initiating and terminating preplanned active defense measures.</t>
  </si>
  <si>
    <t>Multiple communication channels are installed, tested, and used to ensure stakeholders are notified of active defense threats or weaknesses.</t>
  </si>
  <si>
    <t>Processes for troubleshooting and diagnosis include consideration of digital sabotage as a potential cause of process anomalies.</t>
  </si>
  <si>
    <t>Interdependency Evaluation</t>
  </si>
  <si>
    <t>Roles and Responsbilities (i.e., clear communication channels and protocols for handling inter-organizational dependencies), including validated contact information, of systems dependent on this system are readily available to all system operators.</t>
  </si>
  <si>
    <t>Roles and Responsbilities  (i.e., clear communication channels and protocols for handling inter-organizational dependencies), including validated contact information, that this system is dependent on are readily available to all system operators.</t>
  </si>
  <si>
    <t>Service Level Agreements are established for systems that this system is dependent on.</t>
  </si>
  <si>
    <t>Digital Asset Awareness</t>
  </si>
  <si>
    <t>Install non-digital sensor read-outs for use by system operators to reduce the digital asset usage or provide redudant sensor indications.</t>
  </si>
  <si>
    <t>All system maintenance operations executed by digital devices, such as laptops or configuration tools, utilize devices provided and owned by the asset owner organization.</t>
  </si>
  <si>
    <t>Cyber-Secure Supply Chain Controls</t>
  </si>
  <si>
    <t>Alternate delivery methods or multiple alternate sources are arranged to mitigate opportunities for interruption in the delivery of critical components.</t>
  </si>
  <si>
    <t>Planned Resilience</t>
  </si>
  <si>
    <t>The system has the capability to operate entirely in manual mode, devoid of any remote digital functionalities</t>
  </si>
  <si>
    <t>Identify the skilled personnel, resilient materials, and redundant equipment necessary to endure and recover from catastrophic events.</t>
  </si>
  <si>
    <t>Determine where resources will be deployed, prioritizing critical system operations and functions. Allocate resources strategically to support recovery time objectives, sustain critical functions, and enable graceful degradation.</t>
  </si>
  <si>
    <t>Define clear responsibilities for stakeholders at various levels of the organization to ensure accountability and effective coordination in resilience planning and execution.</t>
  </si>
  <si>
    <t>Define the range of conditions under which the system can maintain operations, including both normal and stress-induced scenarios, and implement measures to ensure continuity under various conditions.</t>
  </si>
  <si>
    <t>Organizational Culture</t>
  </si>
  <si>
    <t>Implement reward systems and recognition programs to reinforce behaviors and choices that support security outcomes, fostering a culture of proactive risk management and compliance.</t>
  </si>
  <si>
    <t>Instructions:</t>
  </si>
  <si>
    <t xml:space="preserve"> </t>
  </si>
  <si>
    <t>Controls Subsystem</t>
  </si>
  <si>
    <r>
      <t xml:space="preserve">The primary function is to charge or discharge stored electrical energy as direct current (DC). Based on the principle of electrochemistry where chemical energy is converted into electrical energy during discharging, and electrical energy is converted back into chemical energy during charging. The nominal voltage for these cells is </t>
    </r>
    <r>
      <rPr>
        <b/>
        <sz val="11"/>
        <color theme="1"/>
        <rFont val="Aptos Narrow"/>
        <family val="2"/>
        <scheme val="minor"/>
      </rPr>
      <t>&lt;Nominal Voltage Level&gt;</t>
    </r>
  </si>
  <si>
    <r>
      <t xml:space="preserve">The primary function is to orient in series and parallel a set of battery cells. Cells are connected in series to achieve a higher voltage level. The total voltage of the module is </t>
    </r>
    <r>
      <rPr>
        <b/>
        <sz val="11"/>
        <color theme="1"/>
        <rFont val="Aptos Narrow"/>
        <family val="2"/>
        <scheme val="minor"/>
      </rPr>
      <t>&lt;Module Voltage Level&gt;</t>
    </r>
    <r>
      <rPr>
        <sz val="11"/>
        <color theme="1"/>
        <rFont val="Aptos Narrow"/>
        <family val="2"/>
        <scheme val="minor"/>
      </rPr>
      <t xml:space="preserve">. Cells are connected in parallel to increase the total capacity (ampere-hours, Ah) of the module. The total ampere-hours is </t>
    </r>
    <r>
      <rPr>
        <b/>
        <sz val="11"/>
        <color theme="1"/>
        <rFont val="Aptos Narrow"/>
        <family val="2"/>
        <scheme val="minor"/>
      </rPr>
      <t>&lt;Module Ah Level&gt;</t>
    </r>
    <r>
      <rPr>
        <sz val="11"/>
        <color theme="1"/>
        <rFont val="Aptos Narrow"/>
        <family val="2"/>
        <scheme val="minor"/>
      </rPr>
      <t>.</t>
    </r>
  </si>
  <si>
    <r>
      <t xml:space="preserve">The primary function is to orient in series and parallel a set of battery modules. The number and arrangement of modules in series and parallel, which determine the pack’s voltage and capacity. The pack voltage level is </t>
    </r>
    <r>
      <rPr>
        <b/>
        <sz val="11"/>
        <color theme="1"/>
        <rFont val="Aptos Narrow"/>
        <family val="2"/>
        <scheme val="minor"/>
      </rPr>
      <t>&lt;Pack Voltage Level&gt;</t>
    </r>
    <r>
      <rPr>
        <sz val="11"/>
        <color theme="1"/>
        <rFont val="Aptos Narrow"/>
        <family val="2"/>
        <scheme val="minor"/>
      </rPr>
      <t xml:space="preserve">. The ampere-hours is </t>
    </r>
    <r>
      <rPr>
        <b/>
        <sz val="11"/>
        <color theme="1"/>
        <rFont val="Aptos Narrow"/>
        <family val="2"/>
        <scheme val="minor"/>
      </rPr>
      <t>&lt;Pack Ah Level&gt;</t>
    </r>
    <r>
      <rPr>
        <sz val="11"/>
        <color theme="1"/>
        <rFont val="Aptos Narrow"/>
        <family val="2"/>
        <scheme val="minor"/>
      </rPr>
      <t xml:space="preserve">. The pack </t>
    </r>
    <r>
      <rPr>
        <b/>
        <sz val="11"/>
        <color theme="1"/>
        <rFont val="Aptos Narrow"/>
        <family val="2"/>
        <scheme val="minor"/>
      </rPr>
      <t>[does|does not]</t>
    </r>
    <r>
      <rPr>
        <sz val="11"/>
        <color theme="1"/>
        <rFont val="Aptos Narrow"/>
        <family val="2"/>
        <scheme val="minor"/>
      </rPr>
      <t xml:space="preserve"> provide load balancing between the modules. The pack </t>
    </r>
    <r>
      <rPr>
        <b/>
        <sz val="11"/>
        <color theme="1"/>
        <rFont val="Aptos Narrow"/>
        <family val="2"/>
        <scheme val="minor"/>
      </rPr>
      <t>[does|does not]</t>
    </r>
    <r>
      <rPr>
        <sz val="11"/>
        <color theme="1"/>
        <rFont val="Aptos Narrow"/>
        <family val="2"/>
        <scheme val="minor"/>
      </rPr>
      <t xml:space="preserve"> provide protective housing against environmental factors and mechanical damage.</t>
    </r>
  </si>
  <si>
    <r>
      <t xml:space="preserve">The primary function is to measure the voltage, current, and temperature of the batteries. The voltage sensing is placed on each </t>
    </r>
    <r>
      <rPr>
        <b/>
        <sz val="11"/>
        <color theme="1"/>
        <rFont val="Aptos Narrow"/>
        <family val="2"/>
        <scheme val="minor"/>
      </rPr>
      <t>[cell|module|pack]</t>
    </r>
    <r>
      <rPr>
        <sz val="11"/>
        <color theme="1"/>
        <rFont val="Aptos Narrow"/>
        <family val="2"/>
        <scheme val="minor"/>
      </rPr>
      <t xml:space="preserve">, its range is from </t>
    </r>
    <r>
      <rPr>
        <b/>
        <sz val="11"/>
        <color theme="1"/>
        <rFont val="Aptos Narrow"/>
        <family val="2"/>
        <scheme val="minor"/>
      </rPr>
      <t>[VoltageMin]</t>
    </r>
    <r>
      <rPr>
        <sz val="11"/>
        <color theme="1"/>
        <rFont val="Aptos Narrow"/>
        <family val="2"/>
        <scheme val="minor"/>
      </rPr>
      <t xml:space="preserve"> to </t>
    </r>
    <r>
      <rPr>
        <b/>
        <sz val="11"/>
        <color theme="1"/>
        <rFont val="Aptos Narrow"/>
        <family val="2"/>
        <scheme val="minor"/>
      </rPr>
      <t>[VoltageMax]</t>
    </r>
    <r>
      <rPr>
        <sz val="11"/>
        <color theme="1"/>
        <rFont val="Aptos Narrow"/>
        <family val="2"/>
        <scheme val="minor"/>
      </rPr>
      <t xml:space="preserve">, and its resolution is </t>
    </r>
    <r>
      <rPr>
        <b/>
        <sz val="11"/>
        <color theme="1"/>
        <rFont val="Aptos Narrow"/>
        <family val="2"/>
        <scheme val="minor"/>
      </rPr>
      <t>[VoltageRes]</t>
    </r>
    <r>
      <rPr>
        <sz val="11"/>
        <color theme="1"/>
        <rFont val="Aptos Narrow"/>
        <family val="2"/>
        <scheme val="minor"/>
      </rPr>
      <t xml:space="preserve"> with an accuracy of </t>
    </r>
    <r>
      <rPr>
        <b/>
        <sz val="11"/>
        <color theme="1"/>
        <rFont val="Aptos Narrow"/>
        <family val="2"/>
        <scheme val="minor"/>
      </rPr>
      <t>[VoltageAcc]</t>
    </r>
    <r>
      <rPr>
        <sz val="11"/>
        <color theme="1"/>
        <rFont val="Aptos Narrow"/>
        <family val="2"/>
        <scheme val="minor"/>
      </rPr>
      <t xml:space="preserve"> and a response time of </t>
    </r>
    <r>
      <rPr>
        <b/>
        <sz val="11"/>
        <color theme="1"/>
        <rFont val="Aptos Narrow"/>
        <family val="2"/>
        <scheme val="minor"/>
      </rPr>
      <t>[VoltageResp]</t>
    </r>
    <r>
      <rPr>
        <sz val="11"/>
        <color theme="1"/>
        <rFont val="Aptos Narrow"/>
        <family val="2"/>
        <scheme val="minor"/>
      </rPr>
      <t xml:space="preserve">. The current sensing is placed on each </t>
    </r>
    <r>
      <rPr>
        <b/>
        <sz val="11"/>
        <color theme="1"/>
        <rFont val="Aptos Narrow"/>
        <family val="2"/>
        <scheme val="minor"/>
      </rPr>
      <t>[cell|module|pack]</t>
    </r>
    <r>
      <rPr>
        <sz val="11"/>
        <color theme="1"/>
        <rFont val="Aptos Narrow"/>
        <family val="2"/>
        <scheme val="minor"/>
      </rPr>
      <t xml:space="preserve">, its range is from </t>
    </r>
    <r>
      <rPr>
        <b/>
        <sz val="11"/>
        <color theme="1"/>
        <rFont val="Aptos Narrow"/>
        <family val="2"/>
        <scheme val="minor"/>
      </rPr>
      <t>[CurrMin]</t>
    </r>
    <r>
      <rPr>
        <sz val="11"/>
        <color theme="1"/>
        <rFont val="Aptos Narrow"/>
        <family val="2"/>
        <scheme val="minor"/>
      </rPr>
      <t xml:space="preserve"> to </t>
    </r>
    <r>
      <rPr>
        <b/>
        <sz val="11"/>
        <color theme="1"/>
        <rFont val="Aptos Narrow"/>
        <family val="2"/>
        <scheme val="minor"/>
      </rPr>
      <t>[CurrMax], and its resolution is [CurrRes] with an accuracy of [CurrAcc] and a response time of [CurrResp]</t>
    </r>
    <r>
      <rPr>
        <sz val="11"/>
        <color theme="1"/>
        <rFont val="Aptos Narrow"/>
        <family val="2"/>
        <scheme val="minor"/>
      </rPr>
      <t xml:space="preserve">. The temperature sensing is placed on each </t>
    </r>
    <r>
      <rPr>
        <b/>
        <sz val="11"/>
        <color theme="1"/>
        <rFont val="Aptos Narrow"/>
        <family val="2"/>
        <scheme val="minor"/>
      </rPr>
      <t>[cell|module|pack]</t>
    </r>
    <r>
      <rPr>
        <sz val="11"/>
        <color theme="1"/>
        <rFont val="Aptos Narrow"/>
        <family val="2"/>
        <scheme val="minor"/>
      </rPr>
      <t xml:space="preserve">, its range is from </t>
    </r>
    <r>
      <rPr>
        <b/>
        <sz val="11"/>
        <color theme="1"/>
        <rFont val="Aptos Narrow"/>
        <family val="2"/>
        <scheme val="minor"/>
      </rPr>
      <t>[TempMin]</t>
    </r>
    <r>
      <rPr>
        <sz val="11"/>
        <color theme="1"/>
        <rFont val="Aptos Narrow"/>
        <family val="2"/>
        <scheme val="minor"/>
      </rPr>
      <t xml:space="preserve"> to </t>
    </r>
    <r>
      <rPr>
        <b/>
        <sz val="11"/>
        <color theme="1"/>
        <rFont val="Aptos Narrow"/>
        <family val="2"/>
        <scheme val="minor"/>
      </rPr>
      <t xml:space="preserve">[TempMax], </t>
    </r>
    <r>
      <rPr>
        <sz val="11"/>
        <color theme="1"/>
        <rFont val="Aptos Narrow"/>
        <family val="2"/>
        <scheme val="minor"/>
      </rPr>
      <t>and its resolution is</t>
    </r>
    <r>
      <rPr>
        <b/>
        <sz val="11"/>
        <color theme="1"/>
        <rFont val="Aptos Narrow"/>
        <family val="2"/>
        <scheme val="minor"/>
      </rPr>
      <t xml:space="preserve"> [TempRes]</t>
    </r>
    <r>
      <rPr>
        <sz val="11"/>
        <color theme="1"/>
        <rFont val="Aptos Narrow"/>
        <family val="2"/>
        <scheme val="minor"/>
      </rPr>
      <t xml:space="preserve"> with an accuracy of </t>
    </r>
    <r>
      <rPr>
        <b/>
        <sz val="11"/>
        <color theme="1"/>
        <rFont val="Aptos Narrow"/>
        <family val="2"/>
        <scheme val="minor"/>
      </rPr>
      <t>[TempAcc]</t>
    </r>
    <r>
      <rPr>
        <sz val="11"/>
        <color theme="1"/>
        <rFont val="Aptos Narrow"/>
        <family val="2"/>
        <scheme val="minor"/>
      </rPr>
      <t xml:space="preserve"> and a response time of </t>
    </r>
    <r>
      <rPr>
        <b/>
        <sz val="11"/>
        <color theme="1"/>
        <rFont val="Aptos Narrow"/>
        <family val="2"/>
        <scheme val="minor"/>
      </rPr>
      <t>[TempResp]</t>
    </r>
    <r>
      <rPr>
        <sz val="11"/>
        <color theme="1"/>
        <rFont val="Aptos Narrow"/>
        <family val="2"/>
        <scheme val="minor"/>
      </rPr>
      <t>.</t>
    </r>
  </si>
  <si>
    <r>
      <t xml:space="preserve">The primary function is to provide signal conditioning, multiplexing, control and sensor signal transmission, and protection logic. Signal conditioning is provided to </t>
    </r>
    <r>
      <rPr>
        <b/>
        <sz val="11"/>
        <color theme="1"/>
        <rFont val="Aptos Narrow"/>
        <family val="2"/>
        <scheme val="minor"/>
      </rPr>
      <t>[voltage|current|temp|all]</t>
    </r>
    <r>
      <rPr>
        <sz val="11"/>
        <color theme="1"/>
        <rFont val="Aptos Narrow"/>
        <family val="2"/>
        <scheme val="minor"/>
      </rPr>
      <t xml:space="preserve"> sensed values. This board provides multiplexing for </t>
    </r>
    <r>
      <rPr>
        <b/>
        <sz val="11"/>
        <color theme="1"/>
        <rFont val="Aptos Narrow"/>
        <family val="2"/>
        <scheme val="minor"/>
      </rPr>
      <t>[#]</t>
    </r>
    <r>
      <rPr>
        <sz val="11"/>
        <color theme="1"/>
        <rFont val="Aptos Narrow"/>
        <family val="2"/>
        <scheme val="minor"/>
      </rPr>
      <t xml:space="preserve"> of battery pack signals. The sensed values are communicated to the following devices: </t>
    </r>
    <r>
      <rPr>
        <b/>
        <sz val="11"/>
        <color theme="1"/>
        <rFont val="Aptos Narrow"/>
        <family val="2"/>
        <scheme val="minor"/>
      </rPr>
      <t>[list components here]</t>
    </r>
    <r>
      <rPr>
        <sz val="11"/>
        <color theme="1"/>
        <rFont val="Aptos Narrow"/>
        <family val="2"/>
        <scheme val="minor"/>
      </rPr>
      <t xml:space="preserve">. Control signals that are communicated by this interface board are communicated as follows: </t>
    </r>
    <r>
      <rPr>
        <b/>
        <sz val="11"/>
        <color theme="1"/>
        <rFont val="Aptos Narrow"/>
        <family val="2"/>
        <scheme val="minor"/>
      </rPr>
      <t>[list the following (src component,dest component)]</t>
    </r>
    <r>
      <rPr>
        <sz val="11"/>
        <color theme="1"/>
        <rFont val="Aptos Narrow"/>
        <family val="2"/>
        <scheme val="minor"/>
      </rPr>
      <t xml:space="preserve">. The following protection actions are handled by the interface board: </t>
    </r>
    <r>
      <rPr>
        <b/>
        <sz val="11"/>
        <color theme="1"/>
        <rFont val="Aptos Narrow"/>
        <family val="2"/>
        <scheme val="minor"/>
      </rPr>
      <t>[list actions here (i.e. disconnect the battery pack from the load or charge when an overvoltage unsafe operating condition is detected)]</t>
    </r>
    <r>
      <rPr>
        <sz val="11"/>
        <color theme="1"/>
        <rFont val="Aptos Narrow"/>
        <family val="2"/>
        <scheme val="minor"/>
      </rPr>
      <t xml:space="preserve">. The following protocol is used to communciate signals between this board and a component: </t>
    </r>
    <r>
      <rPr>
        <b/>
        <sz val="11"/>
        <color theme="1"/>
        <rFont val="Aptos Narrow"/>
        <family val="2"/>
        <scheme val="minor"/>
      </rPr>
      <t>[list the following (protocol (i.e. CAN, ModBus, I2C, etc.) - component)]</t>
    </r>
    <r>
      <rPr>
        <sz val="11"/>
        <color theme="1"/>
        <rFont val="Aptos Narrow"/>
        <family val="2"/>
        <scheme val="minor"/>
      </rPr>
      <t>.</t>
    </r>
  </si>
  <si>
    <r>
      <t xml:space="preserve">The primary function is to provide signal conditioning, multiplexing, control and sensor signal transmission, and protection logic. Signal conditioning is provided to </t>
    </r>
    <r>
      <rPr>
        <b/>
        <sz val="11"/>
        <color theme="1"/>
        <rFont val="Aptos Narrow"/>
        <family val="2"/>
        <scheme val="minor"/>
      </rPr>
      <t>[voltage|current|temp|all]</t>
    </r>
    <r>
      <rPr>
        <sz val="11"/>
        <color theme="1"/>
        <rFont val="Aptos Narrow"/>
        <family val="2"/>
        <scheme val="minor"/>
      </rPr>
      <t xml:space="preserve"> sensed values. This board provides multiplexing for </t>
    </r>
    <r>
      <rPr>
        <b/>
        <sz val="11"/>
        <color theme="1"/>
        <rFont val="Aptos Narrow"/>
        <family val="2"/>
        <scheme val="minor"/>
      </rPr>
      <t>[#]</t>
    </r>
    <r>
      <rPr>
        <sz val="11"/>
        <color theme="1"/>
        <rFont val="Aptos Narrow"/>
        <family val="2"/>
        <scheme val="minor"/>
      </rPr>
      <t xml:space="preserve"> of battery pack signals. The sensed values are communicated to the following devices: </t>
    </r>
    <r>
      <rPr>
        <b/>
        <sz val="11"/>
        <color theme="1"/>
        <rFont val="Aptos Narrow"/>
        <family val="2"/>
        <scheme val="minor"/>
      </rPr>
      <t>[list components here]</t>
    </r>
    <r>
      <rPr>
        <sz val="11"/>
        <color theme="1"/>
        <rFont val="Aptos Narrow"/>
        <family val="2"/>
        <scheme val="minor"/>
      </rPr>
      <t xml:space="preserve">. Control signals that are communicated by this interface board are communicated as follows: </t>
    </r>
    <r>
      <rPr>
        <b/>
        <sz val="11"/>
        <color theme="1"/>
        <rFont val="Aptos Narrow"/>
        <family val="2"/>
        <scheme val="minor"/>
      </rPr>
      <t>[list the following (src component,dest component)]</t>
    </r>
    <r>
      <rPr>
        <sz val="11"/>
        <color theme="1"/>
        <rFont val="Aptos Narrow"/>
        <family val="2"/>
        <scheme val="minor"/>
      </rPr>
      <t xml:space="preserve">. The following protection actions are handled by the interface board: </t>
    </r>
    <r>
      <rPr>
        <b/>
        <sz val="11"/>
        <color theme="1"/>
        <rFont val="Aptos Narrow"/>
        <family val="2"/>
        <scheme val="minor"/>
      </rPr>
      <t>[list actions here (i.e. disconnect the battery pack from the load or charge when an overvoltage unsafe operating condition is detected)]</t>
    </r>
    <r>
      <rPr>
        <sz val="11"/>
        <color theme="1"/>
        <rFont val="Aptos Narrow"/>
        <family val="2"/>
        <scheme val="minor"/>
      </rPr>
      <t xml:space="preserve">. The following protocol is used to communciate signals upstream between this board and a component: </t>
    </r>
    <r>
      <rPr>
        <b/>
        <sz val="11"/>
        <color theme="1"/>
        <rFont val="Aptos Narrow"/>
        <family val="2"/>
        <scheme val="minor"/>
      </rPr>
      <t>[list the following (protocol (i.e. CAN, ModBus, I2C, etc.) - component)]</t>
    </r>
    <r>
      <rPr>
        <sz val="11"/>
        <color theme="1"/>
        <rFont val="Aptos Narrow"/>
        <family val="2"/>
        <scheme val="minor"/>
      </rPr>
      <t>.</t>
    </r>
  </si>
  <si>
    <r>
      <t xml:space="preserve">The primary function is to provide state estimation, decision making, protection and thermal management of batteries keep the batteries within the optimal temperature ranges. The following battery metrics are calculated: </t>
    </r>
    <r>
      <rPr>
        <b/>
        <sz val="11"/>
        <color theme="1"/>
        <rFont val="Aptos Narrow"/>
        <family val="2"/>
        <scheme val="minor"/>
      </rPr>
      <t>[State of Charge (SoC), State of Health (SoH), State of Power (SoP), ...]</t>
    </r>
    <r>
      <rPr>
        <sz val="11"/>
        <color theme="1"/>
        <rFont val="Aptos Narrow"/>
        <family val="2"/>
        <scheme val="minor"/>
      </rPr>
      <t xml:space="preserve">. The following decisions are made: </t>
    </r>
    <r>
      <rPr>
        <b/>
        <sz val="11"/>
        <color theme="1"/>
        <rFont val="Aptos Narrow"/>
        <family val="2"/>
        <scheme val="minor"/>
      </rPr>
      <t>[when to start or stop charging, when to start or stop discharging, how to manage current and voltage, and how to balance the cells to maintain uniformity]</t>
    </r>
    <r>
      <rPr>
        <sz val="11"/>
        <color theme="1"/>
        <rFont val="Aptos Narrow"/>
        <family val="2"/>
        <scheme val="minor"/>
      </rPr>
      <t xml:space="preserve">. The following conditiions are used for protection functions: </t>
    </r>
    <r>
      <rPr>
        <b/>
        <sz val="11"/>
        <color theme="1"/>
        <rFont val="Aptos Narrow"/>
        <family val="2"/>
        <scheme val="minor"/>
      </rPr>
      <t>[overvoltage, undervoltage, overtemperature, overcurrent, ...]</t>
    </r>
    <r>
      <rPr>
        <sz val="11"/>
        <color theme="1"/>
        <rFont val="Aptos Narrow"/>
        <family val="2"/>
        <scheme val="minor"/>
      </rPr>
      <t xml:space="preserve">. The following commands are used for thermal management: </t>
    </r>
    <r>
      <rPr>
        <b/>
        <sz val="11"/>
        <color theme="1"/>
        <rFont val="Aptos Narrow"/>
        <family val="2"/>
        <scheme val="minor"/>
      </rPr>
      <t>[cooling, heating]</t>
    </r>
    <r>
      <rPr>
        <sz val="11"/>
        <color theme="1"/>
        <rFont val="Aptos Narrow"/>
        <family val="2"/>
        <scheme val="minor"/>
      </rPr>
      <t xml:space="preserve">. The following protocol is used to communciate signals upstream between this board and a component: </t>
    </r>
    <r>
      <rPr>
        <b/>
        <sz val="11"/>
        <color theme="1"/>
        <rFont val="Aptos Narrow"/>
        <family val="2"/>
        <scheme val="minor"/>
      </rPr>
      <t>[list the following (protocol (i.e. CAN, ModBus, TCP/IP, etc.) - component)]</t>
    </r>
    <r>
      <rPr>
        <sz val="11"/>
        <color theme="1"/>
        <rFont val="Aptos Narrow"/>
        <family val="2"/>
        <scheme val="minor"/>
      </rPr>
      <t>.</t>
    </r>
  </si>
  <si>
    <r>
      <t xml:space="preserve">The primary function is to maintain uniform temperature of the battery cells. This TMS level operates via </t>
    </r>
    <r>
      <rPr>
        <b/>
        <sz val="11"/>
        <color theme="1"/>
        <rFont val="Aptos Narrow"/>
        <family val="2"/>
        <scheme val="minor"/>
      </rPr>
      <t>[active|passive]</t>
    </r>
    <r>
      <rPr>
        <sz val="11"/>
        <color theme="1"/>
        <rFont val="Aptos Narrow"/>
        <family val="2"/>
        <scheme val="minor"/>
      </rPr>
      <t xml:space="preserve"> means by </t>
    </r>
    <r>
      <rPr>
        <b/>
        <sz val="11"/>
        <color theme="1"/>
        <rFont val="Aptos Narrow"/>
        <family val="2"/>
        <scheme val="minor"/>
      </rPr>
      <t>[both|removing excess heat|actively warming]</t>
    </r>
    <r>
      <rPr>
        <sz val="11"/>
        <color theme="1"/>
        <rFont val="Aptos Narrow"/>
        <family val="2"/>
        <scheme val="minor"/>
      </rPr>
      <t xml:space="preserve">. The method of temperature regulation is achieved by </t>
    </r>
    <r>
      <rPr>
        <b/>
        <sz val="11"/>
        <color theme="1"/>
        <rFont val="Aptos Narrow"/>
        <family val="2"/>
        <scheme val="minor"/>
      </rPr>
      <t>[sinks|forced air|liquid|phase change materials|thermoelectric|...]</t>
    </r>
    <r>
      <rPr>
        <sz val="11"/>
        <color theme="1"/>
        <rFont val="Aptos Narrow"/>
        <family val="2"/>
        <scheme val="minor"/>
      </rPr>
      <t xml:space="preserve">. Temperature regulation is achieved using these </t>
    </r>
    <r>
      <rPr>
        <b/>
        <sz val="11"/>
        <color theme="1"/>
        <rFont val="Aptos Narrow"/>
        <family val="2"/>
        <scheme val="minor"/>
      </rPr>
      <t>[list the materials and coolants involved]</t>
    </r>
    <r>
      <rPr>
        <sz val="11"/>
        <color theme="1"/>
        <rFont val="Aptos Narrow"/>
        <family val="2"/>
        <scheme val="minor"/>
      </rPr>
      <t xml:space="preserve">. This </t>
    </r>
    <r>
      <rPr>
        <b/>
        <sz val="11"/>
        <color theme="1"/>
        <rFont val="Aptos Narrow"/>
        <family val="2"/>
        <scheme val="minor"/>
      </rPr>
      <t>[is|is not]</t>
    </r>
    <r>
      <rPr>
        <sz val="11"/>
        <color theme="1"/>
        <rFont val="Aptos Narrow"/>
        <family val="2"/>
        <scheme val="minor"/>
      </rPr>
      <t xml:space="preserve"> part of a larger TMS system (see other TMS components below).</t>
    </r>
  </si>
  <si>
    <r>
      <t xml:space="preserve">The primary function is to maintain uniform temperature of the battery rack (i.e. container) container that holds a set of battery packs. This TMS level operates via </t>
    </r>
    <r>
      <rPr>
        <b/>
        <sz val="11"/>
        <color theme="1"/>
        <rFont val="Aptos Narrow"/>
        <family val="2"/>
        <scheme val="minor"/>
      </rPr>
      <t>[active|passive]</t>
    </r>
    <r>
      <rPr>
        <sz val="11"/>
        <color theme="1"/>
        <rFont val="Aptos Narrow"/>
        <family val="2"/>
        <scheme val="minor"/>
      </rPr>
      <t xml:space="preserve"> means by </t>
    </r>
    <r>
      <rPr>
        <b/>
        <sz val="11"/>
        <color theme="1"/>
        <rFont val="Aptos Narrow"/>
        <family val="2"/>
        <scheme val="minor"/>
      </rPr>
      <t>[both|removing excess heat|actively warming]</t>
    </r>
    <r>
      <rPr>
        <sz val="11"/>
        <color theme="1"/>
        <rFont val="Aptos Narrow"/>
        <family val="2"/>
        <scheme val="minor"/>
      </rPr>
      <t xml:space="preserve">. The method of temperature regulation is achieved by </t>
    </r>
    <r>
      <rPr>
        <b/>
        <sz val="11"/>
        <color theme="1"/>
        <rFont val="Aptos Narrow"/>
        <family val="2"/>
        <scheme val="minor"/>
      </rPr>
      <t>[sinks|forced air|liquid|phase change materials|thermoelectric|...]</t>
    </r>
    <r>
      <rPr>
        <sz val="11"/>
        <color theme="1"/>
        <rFont val="Aptos Narrow"/>
        <family val="2"/>
        <scheme val="minor"/>
      </rPr>
      <t xml:space="preserve">. Temperature regulation is achieved using these </t>
    </r>
    <r>
      <rPr>
        <b/>
        <sz val="11"/>
        <color theme="1"/>
        <rFont val="Aptos Narrow"/>
        <family val="2"/>
        <scheme val="minor"/>
      </rPr>
      <t>[list the materials and coolants involved]</t>
    </r>
    <r>
      <rPr>
        <sz val="11"/>
        <color theme="1"/>
        <rFont val="Aptos Narrow"/>
        <family val="2"/>
        <scheme val="minor"/>
      </rPr>
      <t xml:space="preserve">. This </t>
    </r>
    <r>
      <rPr>
        <b/>
        <sz val="11"/>
        <color theme="1"/>
        <rFont val="Aptos Narrow"/>
        <family val="2"/>
        <scheme val="minor"/>
      </rPr>
      <t>[is|is not]</t>
    </r>
    <r>
      <rPr>
        <sz val="11"/>
        <color theme="1"/>
        <rFont val="Aptos Narrow"/>
        <family val="2"/>
        <scheme val="minor"/>
      </rPr>
      <t xml:space="preserve"> part of a larger TMS system (see other TMS components).</t>
    </r>
  </si>
  <si>
    <r>
      <t xml:space="preserve">The primary function is to maintain uniform temperature of the containers that contains the Power Conversion System (PCS) and/or Controller Cabinet. This TMS level operates via </t>
    </r>
    <r>
      <rPr>
        <b/>
        <sz val="11"/>
        <color theme="1"/>
        <rFont val="Aptos Narrow"/>
        <family val="2"/>
        <scheme val="minor"/>
      </rPr>
      <t>[active|passive]</t>
    </r>
    <r>
      <rPr>
        <sz val="11"/>
        <color theme="1"/>
        <rFont val="Aptos Narrow"/>
        <family val="2"/>
        <scheme val="minor"/>
      </rPr>
      <t xml:space="preserve"> means by </t>
    </r>
    <r>
      <rPr>
        <b/>
        <sz val="11"/>
        <color theme="1"/>
        <rFont val="Aptos Narrow"/>
        <family val="2"/>
        <scheme val="minor"/>
      </rPr>
      <t>[both|removing excess heat|actively warming]</t>
    </r>
    <r>
      <rPr>
        <sz val="11"/>
        <color theme="1"/>
        <rFont val="Aptos Narrow"/>
        <family val="2"/>
        <scheme val="minor"/>
      </rPr>
      <t xml:space="preserve">. The method of temperature regulation is achieved by </t>
    </r>
    <r>
      <rPr>
        <b/>
        <sz val="11"/>
        <color theme="1"/>
        <rFont val="Aptos Narrow"/>
        <family val="2"/>
        <scheme val="minor"/>
      </rPr>
      <t>[sinks|forced air|liquid|phase change materials|thermoelectric|...]</t>
    </r>
    <r>
      <rPr>
        <sz val="11"/>
        <color theme="1"/>
        <rFont val="Aptos Narrow"/>
        <family val="2"/>
        <scheme val="minor"/>
      </rPr>
      <t xml:space="preserve">. Temperature regulation is achieved using these </t>
    </r>
    <r>
      <rPr>
        <b/>
        <sz val="11"/>
        <color theme="1"/>
        <rFont val="Aptos Narrow"/>
        <family val="2"/>
        <scheme val="minor"/>
      </rPr>
      <t>[list the materials and coolants involved]</t>
    </r>
    <r>
      <rPr>
        <sz val="11"/>
        <color theme="1"/>
        <rFont val="Aptos Narrow"/>
        <family val="2"/>
        <scheme val="minor"/>
      </rPr>
      <t xml:space="preserve">. This </t>
    </r>
    <r>
      <rPr>
        <b/>
        <sz val="11"/>
        <color theme="1"/>
        <rFont val="Aptos Narrow"/>
        <family val="2"/>
        <scheme val="minor"/>
      </rPr>
      <t>[is|is not]</t>
    </r>
    <r>
      <rPr>
        <sz val="11"/>
        <color theme="1"/>
        <rFont val="Aptos Narrow"/>
        <family val="2"/>
        <scheme val="minor"/>
      </rPr>
      <t xml:space="preserve"> part of a larger TMS system (see other TMS components above).</t>
    </r>
  </si>
  <si>
    <r>
      <t xml:space="preserve">The primary function is to detect and suppress fires due to high energy densities and potential for thermal runaway. The timely identification of fire uses </t>
    </r>
    <r>
      <rPr>
        <b/>
        <sz val="11"/>
        <color theme="1"/>
        <rFont val="Aptos Narrow"/>
        <family val="2"/>
        <scheme val="minor"/>
      </rPr>
      <t>[smoke|heat|gas|all]</t>
    </r>
    <r>
      <rPr>
        <sz val="11"/>
        <color theme="1"/>
        <rFont val="Aptos Narrow"/>
        <family val="2"/>
        <scheme val="minor"/>
      </rPr>
      <t xml:space="preserve"> methods. When combating a fire, the suppression methods to extinguish and cool are </t>
    </r>
    <r>
      <rPr>
        <b/>
        <sz val="11"/>
        <color theme="1"/>
        <rFont val="Aptos Narrow"/>
        <family val="2"/>
        <scheme val="minor"/>
      </rPr>
      <t>[chemical|inert gas|water|combination]</t>
    </r>
    <r>
      <rPr>
        <sz val="11"/>
        <color theme="1"/>
        <rFont val="Aptos Narrow"/>
        <family val="2"/>
        <scheme val="minor"/>
      </rPr>
      <t xml:space="preserve">. The response time between detection and activating suppression is </t>
    </r>
    <r>
      <rPr>
        <b/>
        <sz val="11"/>
        <color theme="1"/>
        <rFont val="Aptos Narrow"/>
        <family val="2"/>
        <scheme val="minor"/>
      </rPr>
      <t>[X]</t>
    </r>
    <r>
      <rPr>
        <sz val="11"/>
        <color theme="1"/>
        <rFont val="Aptos Narrow"/>
        <family val="2"/>
        <scheme val="minor"/>
      </rPr>
      <t xml:space="preserve"> seconds. Alarm signals are communicated to these components: </t>
    </r>
    <r>
      <rPr>
        <b/>
        <sz val="11"/>
        <color theme="1"/>
        <rFont val="Aptos Narrow"/>
        <family val="2"/>
        <scheme val="minor"/>
      </rPr>
      <t>[list]</t>
    </r>
    <r>
      <rPr>
        <sz val="11"/>
        <color theme="1"/>
        <rFont val="Aptos Narrow"/>
        <family val="2"/>
        <scheme val="minor"/>
      </rPr>
      <t xml:space="preserve">. Suppression activation signals are communicated to these components: </t>
    </r>
    <r>
      <rPr>
        <b/>
        <sz val="11"/>
        <color theme="1"/>
        <rFont val="Aptos Narrow"/>
        <family val="2"/>
        <scheme val="minor"/>
      </rPr>
      <t>[list]</t>
    </r>
    <r>
      <rPr>
        <sz val="11"/>
        <color theme="1"/>
        <rFont val="Aptos Narrow"/>
        <family val="2"/>
        <scheme val="minor"/>
      </rPr>
      <t xml:space="preserve">. Fire protection system status signals are communicated to these components: </t>
    </r>
    <r>
      <rPr>
        <b/>
        <sz val="11"/>
        <color theme="1"/>
        <rFont val="Aptos Narrow"/>
        <family val="2"/>
        <scheme val="minor"/>
      </rPr>
      <t>[list]</t>
    </r>
    <r>
      <rPr>
        <sz val="11"/>
        <color theme="1"/>
        <rFont val="Aptos Narrow"/>
        <family val="2"/>
        <scheme val="minor"/>
      </rPr>
      <t>.</t>
    </r>
  </si>
  <si>
    <r>
      <t xml:space="preserve">The primary function is to interface the BESS with the electrical grid or load such that standby can rapidly ramp up power output to the grid during sudden increases in demand, or provide immediate response to replace lost generation capacity. The inverter has the following power rating: </t>
    </r>
    <r>
      <rPr>
        <b/>
        <sz val="11"/>
        <color theme="1"/>
        <rFont val="Aptos Narrow"/>
        <family val="2"/>
        <scheme val="minor"/>
      </rPr>
      <t>[powerRating]</t>
    </r>
    <r>
      <rPr>
        <sz val="11"/>
        <color theme="1"/>
        <rFont val="Aptos Narrow"/>
        <family val="2"/>
        <scheme val="minor"/>
      </rPr>
      <t xml:space="preserve">. The response time for this mode of operation is </t>
    </r>
    <r>
      <rPr>
        <b/>
        <sz val="11"/>
        <color theme="1"/>
        <rFont val="Aptos Narrow"/>
        <family val="2"/>
        <scheme val="minor"/>
      </rPr>
      <t>[modeResponseTime]</t>
    </r>
    <r>
      <rPr>
        <sz val="11"/>
        <color theme="1"/>
        <rFont val="Aptos Narrow"/>
        <family val="2"/>
        <scheme val="minor"/>
      </rPr>
      <t xml:space="preserve">. The inverter performs this action: </t>
    </r>
    <r>
      <rPr>
        <b/>
        <sz val="11"/>
        <color theme="1"/>
        <rFont val="Aptos Narrow"/>
        <family val="2"/>
        <scheme val="minor"/>
      </rPr>
      <t>[action]</t>
    </r>
    <r>
      <rPr>
        <sz val="11"/>
        <color theme="1"/>
        <rFont val="Aptos Narrow"/>
        <family val="2"/>
        <scheme val="minor"/>
      </rPr>
      <t xml:space="preserve"> when dealing with the heat generated during this mode of operation and is meant to operate in this range: </t>
    </r>
    <r>
      <rPr>
        <b/>
        <sz val="11"/>
        <color theme="1"/>
        <rFont val="Aptos Narrow"/>
        <family val="2"/>
        <scheme val="minor"/>
      </rPr>
      <t>[TempMin]</t>
    </r>
    <r>
      <rPr>
        <sz val="11"/>
        <color theme="1"/>
        <rFont val="Aptos Narrow"/>
        <family val="2"/>
        <scheme val="minor"/>
      </rPr>
      <t xml:space="preserve"> to </t>
    </r>
    <r>
      <rPr>
        <b/>
        <sz val="11"/>
        <color theme="1"/>
        <rFont val="Aptos Narrow"/>
        <family val="2"/>
        <scheme val="minor"/>
      </rPr>
      <t>[TempMax]</t>
    </r>
    <r>
      <rPr>
        <sz val="11"/>
        <color theme="1"/>
        <rFont val="Aptos Narrow"/>
        <family val="2"/>
        <scheme val="minor"/>
      </rPr>
      <t xml:space="preserve">. The inverter has the following grid support features: </t>
    </r>
    <r>
      <rPr>
        <b/>
        <sz val="11"/>
        <color theme="1"/>
        <rFont val="Aptos Narrow"/>
        <family val="2"/>
        <scheme val="minor"/>
      </rPr>
      <t>[list features here (i.e. low/high voltage ride-through, phase imbalance correction, etc.)]</t>
    </r>
    <r>
      <rPr>
        <sz val="11"/>
        <color theme="1"/>
        <rFont val="Aptos Narrow"/>
        <family val="2"/>
        <scheme val="minor"/>
      </rPr>
      <t xml:space="preserve">. The number of inverters are connected to support this mode of operation is </t>
    </r>
    <r>
      <rPr>
        <b/>
        <sz val="11"/>
        <color theme="1"/>
        <rFont val="Aptos Narrow"/>
        <family val="2"/>
        <scheme val="minor"/>
      </rPr>
      <t>[#]</t>
    </r>
    <r>
      <rPr>
        <sz val="11"/>
        <color theme="1"/>
        <rFont val="Aptos Narrow"/>
        <family val="2"/>
        <scheme val="minor"/>
      </rPr>
      <t xml:space="preserve">. The following setpoints are used to control this mode of operation: </t>
    </r>
    <r>
      <rPr>
        <b/>
        <sz val="11"/>
        <color theme="1"/>
        <rFont val="Aptos Narrow"/>
        <family val="2"/>
        <scheme val="minor"/>
      </rPr>
      <t>[list setpoints here]</t>
    </r>
    <r>
      <rPr>
        <sz val="11"/>
        <color theme="1"/>
        <rFont val="Aptos Narrow"/>
        <family val="2"/>
        <scheme val="minor"/>
      </rPr>
      <t xml:space="preserve">. The inverter provides sensed values to these components: </t>
    </r>
    <r>
      <rPr>
        <b/>
        <sz val="11"/>
        <color theme="1"/>
        <rFont val="Aptos Narrow"/>
        <family val="2"/>
        <scheme val="minor"/>
      </rPr>
      <t>[list components here]</t>
    </r>
    <r>
      <rPr>
        <sz val="11"/>
        <color theme="1"/>
        <rFont val="Aptos Narrow"/>
        <family val="2"/>
        <scheme val="minor"/>
      </rPr>
      <t xml:space="preserve">, and the inverter receives commands from these components: </t>
    </r>
    <r>
      <rPr>
        <b/>
        <sz val="11"/>
        <color theme="1"/>
        <rFont val="Aptos Narrow"/>
        <family val="2"/>
        <scheme val="minor"/>
      </rPr>
      <t>[list components here]</t>
    </r>
    <r>
      <rPr>
        <sz val="11"/>
        <color theme="1"/>
        <rFont val="Aptos Narrow"/>
        <family val="2"/>
        <scheme val="minor"/>
      </rPr>
      <t>.</t>
    </r>
  </si>
  <si>
    <r>
      <t xml:space="preserve">The primary function is to interface the BESS with the electrical grid or load such that rapid charge (absorbing excess energy to slow down frequency rise) or discharge (supplying energy to boost a falling frequency) to help maintain grid frequency within the required range. The inverter has the following power rating: </t>
    </r>
    <r>
      <rPr>
        <b/>
        <sz val="11"/>
        <color theme="1"/>
        <rFont val="Aptos Narrow"/>
        <family val="2"/>
        <scheme val="minor"/>
      </rPr>
      <t>[powerRating]</t>
    </r>
    <r>
      <rPr>
        <sz val="11"/>
        <color theme="1"/>
        <rFont val="Aptos Narrow"/>
        <family val="2"/>
        <scheme val="minor"/>
      </rPr>
      <t xml:space="preserve">. The response time for this mode of operation is </t>
    </r>
    <r>
      <rPr>
        <b/>
        <sz val="11"/>
        <color theme="1"/>
        <rFont val="Aptos Narrow"/>
        <family val="2"/>
        <scheme val="minor"/>
      </rPr>
      <t>[modeResponseTime]</t>
    </r>
    <r>
      <rPr>
        <sz val="11"/>
        <color theme="1"/>
        <rFont val="Aptos Narrow"/>
        <family val="2"/>
        <scheme val="minor"/>
      </rPr>
      <t xml:space="preserve">. The inverter performs this action: </t>
    </r>
    <r>
      <rPr>
        <b/>
        <sz val="11"/>
        <color theme="1"/>
        <rFont val="Aptos Narrow"/>
        <family val="2"/>
        <scheme val="minor"/>
      </rPr>
      <t>[action]</t>
    </r>
    <r>
      <rPr>
        <sz val="11"/>
        <color theme="1"/>
        <rFont val="Aptos Narrow"/>
        <family val="2"/>
        <scheme val="minor"/>
      </rPr>
      <t xml:space="preserve"> when dealing with the heat generated during this mode of operation and is meant to operate in this range: </t>
    </r>
    <r>
      <rPr>
        <b/>
        <sz val="11"/>
        <color theme="1"/>
        <rFont val="Aptos Narrow"/>
        <family val="2"/>
        <scheme val="minor"/>
      </rPr>
      <t>[TempMin]</t>
    </r>
    <r>
      <rPr>
        <sz val="11"/>
        <color theme="1"/>
        <rFont val="Aptos Narrow"/>
        <family val="2"/>
        <scheme val="minor"/>
      </rPr>
      <t xml:space="preserve"> to </t>
    </r>
    <r>
      <rPr>
        <b/>
        <sz val="11"/>
        <color theme="1"/>
        <rFont val="Aptos Narrow"/>
        <family val="2"/>
        <scheme val="minor"/>
      </rPr>
      <t>[TempMax]</t>
    </r>
    <r>
      <rPr>
        <sz val="11"/>
        <color theme="1"/>
        <rFont val="Aptos Narrow"/>
        <family val="2"/>
        <scheme val="minor"/>
      </rPr>
      <t xml:space="preserve">. The inverter has the following grid support features: </t>
    </r>
    <r>
      <rPr>
        <b/>
        <sz val="11"/>
        <color theme="1"/>
        <rFont val="Aptos Narrow"/>
        <family val="2"/>
        <scheme val="minor"/>
      </rPr>
      <t>[list features here (i.e. low/high voltage ride-through, phase imbalance correction, etc.)]</t>
    </r>
    <r>
      <rPr>
        <sz val="11"/>
        <color theme="1"/>
        <rFont val="Aptos Narrow"/>
        <family val="2"/>
        <scheme val="minor"/>
      </rPr>
      <t xml:space="preserve">. The number of inverters are connected to support this mode of operation is </t>
    </r>
    <r>
      <rPr>
        <b/>
        <sz val="11"/>
        <color theme="1"/>
        <rFont val="Aptos Narrow"/>
        <family val="2"/>
        <scheme val="minor"/>
      </rPr>
      <t>[#]</t>
    </r>
    <r>
      <rPr>
        <sz val="11"/>
        <color theme="1"/>
        <rFont val="Aptos Narrow"/>
        <family val="2"/>
        <scheme val="minor"/>
      </rPr>
      <t xml:space="preserve">. The following setpoints are used to control this mode of operation: </t>
    </r>
    <r>
      <rPr>
        <b/>
        <sz val="11"/>
        <color theme="1"/>
        <rFont val="Aptos Narrow"/>
        <family val="2"/>
        <scheme val="minor"/>
      </rPr>
      <t>[list setpoints here]</t>
    </r>
    <r>
      <rPr>
        <sz val="11"/>
        <color theme="1"/>
        <rFont val="Aptos Narrow"/>
        <family val="2"/>
        <scheme val="minor"/>
      </rPr>
      <t xml:space="preserve">. The inverter provides sensed values to these components: </t>
    </r>
    <r>
      <rPr>
        <b/>
        <sz val="11"/>
        <color theme="1"/>
        <rFont val="Aptos Narrow"/>
        <family val="2"/>
        <scheme val="minor"/>
      </rPr>
      <t>[list components here]</t>
    </r>
    <r>
      <rPr>
        <sz val="11"/>
        <color theme="1"/>
        <rFont val="Aptos Narrow"/>
        <family val="2"/>
        <scheme val="minor"/>
      </rPr>
      <t xml:space="preserve">, and the inverter receives commands from these components: </t>
    </r>
    <r>
      <rPr>
        <b/>
        <sz val="11"/>
        <color theme="1"/>
        <rFont val="Aptos Narrow"/>
        <family val="2"/>
        <scheme val="minor"/>
      </rPr>
      <t>[list components here]</t>
    </r>
    <r>
      <rPr>
        <sz val="11"/>
        <color theme="1"/>
        <rFont val="Aptos Narrow"/>
        <family val="2"/>
        <scheme val="minor"/>
      </rPr>
      <t>.</t>
    </r>
  </si>
  <si>
    <r>
      <t xml:space="preserve">The primary function is to interface the BESS with the electrical grid or load such that adjusts the discharge rate of the battery to follow the fluctuations in demand, smoothing out the variability of load on the grid. The inverter has the following power rating: </t>
    </r>
    <r>
      <rPr>
        <b/>
        <sz val="11"/>
        <color theme="1"/>
        <rFont val="Aptos Narrow"/>
        <family val="2"/>
        <scheme val="minor"/>
      </rPr>
      <t>[powerRating]</t>
    </r>
    <r>
      <rPr>
        <sz val="11"/>
        <color theme="1"/>
        <rFont val="Aptos Narrow"/>
        <family val="2"/>
        <scheme val="minor"/>
      </rPr>
      <t xml:space="preserve">. The response time for this mode of operation is </t>
    </r>
    <r>
      <rPr>
        <b/>
        <sz val="11"/>
        <color theme="1"/>
        <rFont val="Aptos Narrow"/>
        <family val="2"/>
        <scheme val="minor"/>
      </rPr>
      <t>[modeResponseTime]</t>
    </r>
    <r>
      <rPr>
        <sz val="11"/>
        <color theme="1"/>
        <rFont val="Aptos Narrow"/>
        <family val="2"/>
        <scheme val="minor"/>
      </rPr>
      <t xml:space="preserve">. The inverter performs this action: </t>
    </r>
    <r>
      <rPr>
        <b/>
        <sz val="11"/>
        <color theme="1"/>
        <rFont val="Aptos Narrow"/>
        <family val="2"/>
        <scheme val="minor"/>
      </rPr>
      <t>[action]</t>
    </r>
    <r>
      <rPr>
        <sz val="11"/>
        <color theme="1"/>
        <rFont val="Aptos Narrow"/>
        <family val="2"/>
        <scheme val="minor"/>
      </rPr>
      <t xml:space="preserve"> when dealing with the heat generated during this mode of operation and is meant to operate in this range:</t>
    </r>
    <r>
      <rPr>
        <b/>
        <sz val="11"/>
        <color theme="1"/>
        <rFont val="Aptos Narrow"/>
        <family val="2"/>
        <scheme val="minor"/>
      </rPr>
      <t xml:space="preserve"> [TempMin]</t>
    </r>
    <r>
      <rPr>
        <sz val="11"/>
        <color theme="1"/>
        <rFont val="Aptos Narrow"/>
        <family val="2"/>
        <scheme val="minor"/>
      </rPr>
      <t xml:space="preserve"> to</t>
    </r>
    <r>
      <rPr>
        <b/>
        <sz val="11"/>
        <color theme="1"/>
        <rFont val="Aptos Narrow"/>
        <family val="2"/>
        <scheme val="minor"/>
      </rPr>
      <t xml:space="preserve"> [TempMax]</t>
    </r>
    <r>
      <rPr>
        <sz val="11"/>
        <color theme="1"/>
        <rFont val="Aptos Narrow"/>
        <family val="2"/>
        <scheme val="minor"/>
      </rPr>
      <t>. The inverter has the following grid support features:</t>
    </r>
    <r>
      <rPr>
        <b/>
        <sz val="11"/>
        <color theme="1"/>
        <rFont val="Aptos Narrow"/>
        <family val="2"/>
        <scheme val="minor"/>
      </rPr>
      <t xml:space="preserve"> [list features here (i.e. low/high voltage ride-through, phase imbalance correction, etc.)]</t>
    </r>
    <r>
      <rPr>
        <sz val="11"/>
        <color theme="1"/>
        <rFont val="Aptos Narrow"/>
        <family val="2"/>
        <scheme val="minor"/>
      </rPr>
      <t xml:space="preserve">. The number of inverters are connected to support this mode of operation is </t>
    </r>
    <r>
      <rPr>
        <b/>
        <sz val="11"/>
        <color theme="1"/>
        <rFont val="Aptos Narrow"/>
        <family val="2"/>
        <scheme val="minor"/>
      </rPr>
      <t>[#]</t>
    </r>
    <r>
      <rPr>
        <sz val="11"/>
        <color theme="1"/>
        <rFont val="Aptos Narrow"/>
        <family val="2"/>
        <scheme val="minor"/>
      </rPr>
      <t xml:space="preserve">. The following setpoints are used to control this mode of operation: </t>
    </r>
    <r>
      <rPr>
        <b/>
        <sz val="11"/>
        <color theme="1"/>
        <rFont val="Aptos Narrow"/>
        <family val="2"/>
        <scheme val="minor"/>
      </rPr>
      <t>[list setpoints here]</t>
    </r>
    <r>
      <rPr>
        <sz val="11"/>
        <color theme="1"/>
        <rFont val="Aptos Narrow"/>
        <family val="2"/>
        <scheme val="minor"/>
      </rPr>
      <t xml:space="preserve">. The inverter provides sensed values to these components: </t>
    </r>
    <r>
      <rPr>
        <b/>
        <sz val="11"/>
        <color theme="1"/>
        <rFont val="Aptos Narrow"/>
        <family val="2"/>
        <scheme val="minor"/>
      </rPr>
      <t>[list components here]</t>
    </r>
    <r>
      <rPr>
        <sz val="11"/>
        <color theme="1"/>
        <rFont val="Aptos Narrow"/>
        <family val="2"/>
        <scheme val="minor"/>
      </rPr>
      <t xml:space="preserve">, and the inverter receives commands from these components: </t>
    </r>
    <r>
      <rPr>
        <b/>
        <sz val="11"/>
        <color theme="1"/>
        <rFont val="Aptos Narrow"/>
        <family val="2"/>
        <scheme val="minor"/>
      </rPr>
      <t>[list components here].</t>
    </r>
  </si>
  <si>
    <r>
      <t xml:space="preserve">The primary function is to interface the BESS with the electrical grid or load such that reactive power (VARs) are injected into the grid to support voltage levels without necessarily affecting real power flow, or absorb reactive power if the voltage is too high. The inverter has the following power rating: </t>
    </r>
    <r>
      <rPr>
        <b/>
        <sz val="11"/>
        <color theme="1"/>
        <rFont val="Aptos Narrow"/>
        <family val="2"/>
        <scheme val="minor"/>
      </rPr>
      <t>[powerRating]</t>
    </r>
    <r>
      <rPr>
        <sz val="11"/>
        <color theme="1"/>
        <rFont val="Aptos Narrow"/>
        <family val="2"/>
        <scheme val="minor"/>
      </rPr>
      <t xml:space="preserve">. The response time for this mode of operation is </t>
    </r>
    <r>
      <rPr>
        <b/>
        <sz val="11"/>
        <color theme="1"/>
        <rFont val="Aptos Narrow"/>
        <family val="2"/>
        <scheme val="minor"/>
      </rPr>
      <t>[modeResponseTime]</t>
    </r>
    <r>
      <rPr>
        <sz val="11"/>
        <color theme="1"/>
        <rFont val="Aptos Narrow"/>
        <family val="2"/>
        <scheme val="minor"/>
      </rPr>
      <t xml:space="preserve">. The inverter performs this action: </t>
    </r>
    <r>
      <rPr>
        <b/>
        <sz val="11"/>
        <color theme="1"/>
        <rFont val="Aptos Narrow"/>
        <family val="2"/>
        <scheme val="minor"/>
      </rPr>
      <t>[action]</t>
    </r>
    <r>
      <rPr>
        <sz val="11"/>
        <color theme="1"/>
        <rFont val="Aptos Narrow"/>
        <family val="2"/>
        <scheme val="minor"/>
      </rPr>
      <t xml:space="preserve"> when dealing with the heat generated during this mode of operation and is meant to operate in this range: </t>
    </r>
    <r>
      <rPr>
        <b/>
        <sz val="11"/>
        <color theme="1"/>
        <rFont val="Aptos Narrow"/>
        <family val="2"/>
        <scheme val="minor"/>
      </rPr>
      <t>[TempMin]</t>
    </r>
    <r>
      <rPr>
        <sz val="11"/>
        <color theme="1"/>
        <rFont val="Aptos Narrow"/>
        <family val="2"/>
        <scheme val="minor"/>
      </rPr>
      <t xml:space="preserve"> to </t>
    </r>
    <r>
      <rPr>
        <b/>
        <sz val="11"/>
        <color theme="1"/>
        <rFont val="Aptos Narrow"/>
        <family val="2"/>
        <scheme val="minor"/>
      </rPr>
      <t>[TempMax]</t>
    </r>
    <r>
      <rPr>
        <sz val="11"/>
        <color theme="1"/>
        <rFont val="Aptos Narrow"/>
        <family val="2"/>
        <scheme val="minor"/>
      </rPr>
      <t xml:space="preserve">. The inverter has the following grid support features: </t>
    </r>
    <r>
      <rPr>
        <b/>
        <sz val="11"/>
        <color theme="1"/>
        <rFont val="Aptos Narrow"/>
        <family val="2"/>
        <scheme val="minor"/>
      </rPr>
      <t>[list features here (i.e. low/high voltage ride-through, phase imbalance correction, etc.)]</t>
    </r>
    <r>
      <rPr>
        <sz val="11"/>
        <color theme="1"/>
        <rFont val="Aptos Narrow"/>
        <family val="2"/>
        <scheme val="minor"/>
      </rPr>
      <t xml:space="preserve">. The number of inverters are connected to support this mode of operation is </t>
    </r>
    <r>
      <rPr>
        <b/>
        <sz val="11"/>
        <color theme="1"/>
        <rFont val="Aptos Narrow"/>
        <family val="2"/>
        <scheme val="minor"/>
      </rPr>
      <t>[#]</t>
    </r>
    <r>
      <rPr>
        <sz val="11"/>
        <color theme="1"/>
        <rFont val="Aptos Narrow"/>
        <family val="2"/>
        <scheme val="minor"/>
      </rPr>
      <t xml:space="preserve">. The following setpoints are used to control this mode of operation: </t>
    </r>
    <r>
      <rPr>
        <b/>
        <sz val="11"/>
        <color theme="1"/>
        <rFont val="Aptos Narrow"/>
        <family val="2"/>
        <scheme val="minor"/>
      </rPr>
      <t>[list setpoints here]</t>
    </r>
    <r>
      <rPr>
        <sz val="11"/>
        <color theme="1"/>
        <rFont val="Aptos Narrow"/>
        <family val="2"/>
        <scheme val="minor"/>
      </rPr>
      <t xml:space="preserve">. The inverter provides sensed values to these components: </t>
    </r>
    <r>
      <rPr>
        <b/>
        <sz val="11"/>
        <color theme="1"/>
        <rFont val="Aptos Narrow"/>
        <family val="2"/>
        <scheme val="minor"/>
      </rPr>
      <t>[list components here],</t>
    </r>
    <r>
      <rPr>
        <sz val="11"/>
        <color theme="1"/>
        <rFont val="Aptos Narrow"/>
        <family val="2"/>
        <scheme val="minor"/>
      </rPr>
      <t xml:space="preserve"> and the inverter receives commands from these components: </t>
    </r>
    <r>
      <rPr>
        <b/>
        <sz val="11"/>
        <color theme="1"/>
        <rFont val="Aptos Narrow"/>
        <family val="2"/>
        <scheme val="minor"/>
      </rPr>
      <t>[list components here]</t>
    </r>
    <r>
      <rPr>
        <sz val="11"/>
        <color theme="1"/>
        <rFont val="Aptos Narrow"/>
        <family val="2"/>
        <scheme val="minor"/>
      </rPr>
      <t>.</t>
    </r>
  </si>
  <si>
    <r>
      <t xml:space="preserve">The primary function is to interface the BESS with the electrical grid or load such that power is suppled during times of peak load to reduce the demand on traditional power plants, lowering the peak load and potentially reducing energy costs. The inverter has the following power rating: </t>
    </r>
    <r>
      <rPr>
        <b/>
        <sz val="11"/>
        <color theme="1"/>
        <rFont val="Aptos Narrow"/>
        <family val="2"/>
        <scheme val="minor"/>
      </rPr>
      <t>[powerRating]</t>
    </r>
    <r>
      <rPr>
        <sz val="11"/>
        <color theme="1"/>
        <rFont val="Aptos Narrow"/>
        <family val="2"/>
        <scheme val="minor"/>
      </rPr>
      <t xml:space="preserve">. The response time for this mode of operation is </t>
    </r>
    <r>
      <rPr>
        <b/>
        <sz val="11"/>
        <color theme="1"/>
        <rFont val="Aptos Narrow"/>
        <family val="2"/>
        <scheme val="minor"/>
      </rPr>
      <t>[modeResponseTime]</t>
    </r>
    <r>
      <rPr>
        <sz val="11"/>
        <color theme="1"/>
        <rFont val="Aptos Narrow"/>
        <family val="2"/>
        <scheme val="minor"/>
      </rPr>
      <t xml:space="preserve">. The inverter performs this action: </t>
    </r>
    <r>
      <rPr>
        <b/>
        <sz val="11"/>
        <color theme="1"/>
        <rFont val="Aptos Narrow"/>
        <family val="2"/>
        <scheme val="minor"/>
      </rPr>
      <t>[action]</t>
    </r>
    <r>
      <rPr>
        <sz val="11"/>
        <color theme="1"/>
        <rFont val="Aptos Narrow"/>
        <family val="2"/>
        <scheme val="minor"/>
      </rPr>
      <t xml:space="preserve"> when dealing with the heat generated during this mode of operation and is meant to operate in this range: </t>
    </r>
    <r>
      <rPr>
        <b/>
        <sz val="11"/>
        <color theme="1"/>
        <rFont val="Aptos Narrow"/>
        <family val="2"/>
        <scheme val="minor"/>
      </rPr>
      <t>[TempMin]</t>
    </r>
    <r>
      <rPr>
        <sz val="11"/>
        <color theme="1"/>
        <rFont val="Aptos Narrow"/>
        <family val="2"/>
        <scheme val="minor"/>
      </rPr>
      <t xml:space="preserve"> to </t>
    </r>
    <r>
      <rPr>
        <b/>
        <sz val="11"/>
        <color theme="1"/>
        <rFont val="Aptos Narrow"/>
        <family val="2"/>
        <scheme val="minor"/>
      </rPr>
      <t>[TempMax]</t>
    </r>
    <r>
      <rPr>
        <sz val="11"/>
        <color theme="1"/>
        <rFont val="Aptos Narrow"/>
        <family val="2"/>
        <scheme val="minor"/>
      </rPr>
      <t xml:space="preserve">. The inverter has the following grid support features: </t>
    </r>
    <r>
      <rPr>
        <b/>
        <sz val="11"/>
        <color theme="1"/>
        <rFont val="Aptos Narrow"/>
        <family val="2"/>
        <scheme val="minor"/>
      </rPr>
      <t>[list features here (i.e. low/high voltage ride-through, phase imbalance correction, etc.)]</t>
    </r>
    <r>
      <rPr>
        <sz val="11"/>
        <color theme="1"/>
        <rFont val="Aptos Narrow"/>
        <family val="2"/>
        <scheme val="minor"/>
      </rPr>
      <t>. The number of inverters are connected to support this mode of operation is</t>
    </r>
    <r>
      <rPr>
        <b/>
        <sz val="11"/>
        <color theme="1"/>
        <rFont val="Aptos Narrow"/>
        <family val="2"/>
        <scheme val="minor"/>
      </rPr>
      <t xml:space="preserve"> [#]</t>
    </r>
    <r>
      <rPr>
        <sz val="11"/>
        <color theme="1"/>
        <rFont val="Aptos Narrow"/>
        <family val="2"/>
        <scheme val="minor"/>
      </rPr>
      <t xml:space="preserve">. The following setpoints are used to control this mode of operation: </t>
    </r>
    <r>
      <rPr>
        <b/>
        <sz val="11"/>
        <color theme="1"/>
        <rFont val="Aptos Narrow"/>
        <family val="2"/>
        <scheme val="minor"/>
      </rPr>
      <t>[list setpoints here]</t>
    </r>
    <r>
      <rPr>
        <sz val="11"/>
        <color theme="1"/>
        <rFont val="Aptos Narrow"/>
        <family val="2"/>
        <scheme val="minor"/>
      </rPr>
      <t xml:space="preserve">. The inverter provides sensed values to these components: </t>
    </r>
    <r>
      <rPr>
        <b/>
        <sz val="11"/>
        <color theme="1"/>
        <rFont val="Aptos Narrow"/>
        <family val="2"/>
        <scheme val="minor"/>
      </rPr>
      <t>[list components here]</t>
    </r>
    <r>
      <rPr>
        <sz val="11"/>
        <color theme="1"/>
        <rFont val="Aptos Narrow"/>
        <family val="2"/>
        <scheme val="minor"/>
      </rPr>
      <t xml:space="preserve">, and the inverter receives commands from these components: </t>
    </r>
    <r>
      <rPr>
        <b/>
        <sz val="11"/>
        <color theme="1"/>
        <rFont val="Aptos Narrow"/>
        <family val="2"/>
        <scheme val="minor"/>
      </rPr>
      <t>[list components here]</t>
    </r>
    <r>
      <rPr>
        <sz val="11"/>
        <color theme="1"/>
        <rFont val="Aptos Narrow"/>
        <family val="2"/>
        <scheme val="minor"/>
      </rPr>
      <t>.</t>
    </r>
  </si>
  <si>
    <r>
      <t xml:space="preserve">The primary function is to interface the BESS with the electrical grid or load such that in the event of grid outage, power is supplied to the load, ensuring continuity of serivce. The inverter has the following power rating: </t>
    </r>
    <r>
      <rPr>
        <b/>
        <sz val="11"/>
        <color theme="1"/>
        <rFont val="Aptos Narrow"/>
        <family val="2"/>
        <scheme val="minor"/>
      </rPr>
      <t>[powerRating]</t>
    </r>
    <r>
      <rPr>
        <sz val="11"/>
        <color theme="1"/>
        <rFont val="Aptos Narrow"/>
        <family val="2"/>
        <scheme val="minor"/>
      </rPr>
      <t xml:space="preserve">. The response time for this mode of operation is </t>
    </r>
    <r>
      <rPr>
        <b/>
        <sz val="11"/>
        <color theme="1"/>
        <rFont val="Aptos Narrow"/>
        <family val="2"/>
        <scheme val="minor"/>
      </rPr>
      <t>[modeResponseTime]</t>
    </r>
    <r>
      <rPr>
        <sz val="11"/>
        <color theme="1"/>
        <rFont val="Aptos Narrow"/>
        <family val="2"/>
        <scheme val="minor"/>
      </rPr>
      <t>. The inverter performs this action:</t>
    </r>
    <r>
      <rPr>
        <b/>
        <sz val="11"/>
        <color theme="1"/>
        <rFont val="Aptos Narrow"/>
        <family val="2"/>
        <scheme val="minor"/>
      </rPr>
      <t xml:space="preserve"> [action]</t>
    </r>
    <r>
      <rPr>
        <sz val="11"/>
        <color theme="1"/>
        <rFont val="Aptos Narrow"/>
        <family val="2"/>
        <scheme val="minor"/>
      </rPr>
      <t xml:space="preserve"> when dealing with the heat generated during this mode of operation and is meant to operate in this range: </t>
    </r>
    <r>
      <rPr>
        <b/>
        <sz val="11"/>
        <color theme="1"/>
        <rFont val="Aptos Narrow"/>
        <family val="2"/>
        <scheme val="minor"/>
      </rPr>
      <t>[TempMin]</t>
    </r>
    <r>
      <rPr>
        <sz val="11"/>
        <color theme="1"/>
        <rFont val="Aptos Narrow"/>
        <family val="2"/>
        <scheme val="minor"/>
      </rPr>
      <t xml:space="preserve"> to </t>
    </r>
    <r>
      <rPr>
        <b/>
        <sz val="11"/>
        <color theme="1"/>
        <rFont val="Aptos Narrow"/>
        <family val="2"/>
        <scheme val="minor"/>
      </rPr>
      <t>[TempMax]</t>
    </r>
    <r>
      <rPr>
        <sz val="11"/>
        <color theme="1"/>
        <rFont val="Aptos Narrow"/>
        <family val="2"/>
        <scheme val="minor"/>
      </rPr>
      <t xml:space="preserve">. The inverter has the following grid support features: </t>
    </r>
    <r>
      <rPr>
        <b/>
        <sz val="11"/>
        <color theme="1"/>
        <rFont val="Aptos Narrow"/>
        <family val="2"/>
        <scheme val="minor"/>
      </rPr>
      <t>[list features here (i.e. low/high voltage ride-through, phase imbalance correction, etc.)]</t>
    </r>
    <r>
      <rPr>
        <sz val="11"/>
        <color theme="1"/>
        <rFont val="Aptos Narrow"/>
        <family val="2"/>
        <scheme val="minor"/>
      </rPr>
      <t xml:space="preserve">. The number of inverters are connected to support this mode of operation is </t>
    </r>
    <r>
      <rPr>
        <b/>
        <sz val="11"/>
        <color theme="1"/>
        <rFont val="Aptos Narrow"/>
        <family val="2"/>
        <scheme val="minor"/>
      </rPr>
      <t>[#]</t>
    </r>
    <r>
      <rPr>
        <sz val="11"/>
        <color theme="1"/>
        <rFont val="Aptos Narrow"/>
        <family val="2"/>
        <scheme val="minor"/>
      </rPr>
      <t xml:space="preserve">. The following setpoints are used to control this mode of operation: </t>
    </r>
    <r>
      <rPr>
        <b/>
        <sz val="11"/>
        <color theme="1"/>
        <rFont val="Aptos Narrow"/>
        <family val="2"/>
        <scheme val="minor"/>
      </rPr>
      <t>[list setpoints here]</t>
    </r>
    <r>
      <rPr>
        <sz val="11"/>
        <color theme="1"/>
        <rFont val="Aptos Narrow"/>
        <family val="2"/>
        <scheme val="minor"/>
      </rPr>
      <t xml:space="preserve">. The inverter provides sensed values to these components: </t>
    </r>
    <r>
      <rPr>
        <b/>
        <sz val="11"/>
        <color theme="1"/>
        <rFont val="Aptos Narrow"/>
        <family val="2"/>
        <scheme val="minor"/>
      </rPr>
      <t>[list components here]</t>
    </r>
    <r>
      <rPr>
        <sz val="11"/>
        <color theme="1"/>
        <rFont val="Aptos Narrow"/>
        <family val="2"/>
        <scheme val="minor"/>
      </rPr>
      <t xml:space="preserve">, and the inverter receives commands from these components: </t>
    </r>
    <r>
      <rPr>
        <b/>
        <sz val="11"/>
        <color theme="1"/>
        <rFont val="Aptos Narrow"/>
        <family val="2"/>
        <scheme val="minor"/>
      </rPr>
      <t>[list components here]</t>
    </r>
    <r>
      <rPr>
        <sz val="11"/>
        <color theme="1"/>
        <rFont val="Aptos Narrow"/>
        <family val="2"/>
        <scheme val="minor"/>
      </rPr>
      <t>.</t>
    </r>
  </si>
  <si>
    <r>
      <t xml:space="preserve">The primary function is to interface the BESS with the electrical grid or load such that, when the grid has been shut down, initial power needed to start up the grid's power stations. The inverter has the following power rating: </t>
    </r>
    <r>
      <rPr>
        <b/>
        <sz val="11"/>
        <color theme="1"/>
        <rFont val="Aptos Narrow"/>
        <family val="2"/>
        <scheme val="minor"/>
      </rPr>
      <t>[powerRating]</t>
    </r>
    <r>
      <rPr>
        <sz val="11"/>
        <color theme="1"/>
        <rFont val="Aptos Narrow"/>
        <family val="2"/>
        <scheme val="minor"/>
      </rPr>
      <t xml:space="preserve">. The response time for this mode of operation is </t>
    </r>
    <r>
      <rPr>
        <b/>
        <sz val="11"/>
        <color theme="1"/>
        <rFont val="Aptos Narrow"/>
        <family val="2"/>
        <scheme val="minor"/>
      </rPr>
      <t>[modeResponseTime]</t>
    </r>
    <r>
      <rPr>
        <sz val="11"/>
        <color theme="1"/>
        <rFont val="Aptos Narrow"/>
        <family val="2"/>
        <scheme val="minor"/>
      </rPr>
      <t xml:space="preserve">. The inverter performs this action: </t>
    </r>
    <r>
      <rPr>
        <b/>
        <sz val="11"/>
        <color theme="1"/>
        <rFont val="Aptos Narrow"/>
        <family val="2"/>
        <scheme val="minor"/>
      </rPr>
      <t>[action]</t>
    </r>
    <r>
      <rPr>
        <sz val="11"/>
        <color theme="1"/>
        <rFont val="Aptos Narrow"/>
        <family val="2"/>
        <scheme val="minor"/>
      </rPr>
      <t xml:space="preserve"> when dealing with the heat generated during this mode of operation and is meant to operate in this range: </t>
    </r>
    <r>
      <rPr>
        <b/>
        <sz val="11"/>
        <color theme="1"/>
        <rFont val="Aptos Narrow"/>
        <family val="2"/>
        <scheme val="minor"/>
      </rPr>
      <t xml:space="preserve">[TempMin] </t>
    </r>
    <r>
      <rPr>
        <sz val="11"/>
        <color theme="1"/>
        <rFont val="Aptos Narrow"/>
        <family val="2"/>
        <scheme val="minor"/>
      </rPr>
      <t xml:space="preserve">to </t>
    </r>
    <r>
      <rPr>
        <b/>
        <sz val="11"/>
        <color theme="1"/>
        <rFont val="Aptos Narrow"/>
        <family val="2"/>
        <scheme val="minor"/>
      </rPr>
      <t>[TempMax]</t>
    </r>
    <r>
      <rPr>
        <sz val="11"/>
        <color theme="1"/>
        <rFont val="Aptos Narrow"/>
        <family val="2"/>
        <scheme val="minor"/>
      </rPr>
      <t xml:space="preserve">. The inverter has the following grid support features: </t>
    </r>
    <r>
      <rPr>
        <b/>
        <sz val="11"/>
        <color theme="1"/>
        <rFont val="Aptos Narrow"/>
        <family val="2"/>
        <scheme val="minor"/>
      </rPr>
      <t>[list features here (i.e. low/high voltage ride-through, phase imbalance correction, etc.)]</t>
    </r>
    <r>
      <rPr>
        <sz val="11"/>
        <color theme="1"/>
        <rFont val="Aptos Narrow"/>
        <family val="2"/>
        <scheme val="minor"/>
      </rPr>
      <t xml:space="preserve">. The number of inverters are connected to support this mode of operation is </t>
    </r>
    <r>
      <rPr>
        <b/>
        <sz val="11"/>
        <color theme="1"/>
        <rFont val="Aptos Narrow"/>
        <family val="2"/>
        <scheme val="minor"/>
      </rPr>
      <t>[#]</t>
    </r>
    <r>
      <rPr>
        <sz val="11"/>
        <color theme="1"/>
        <rFont val="Aptos Narrow"/>
        <family val="2"/>
        <scheme val="minor"/>
      </rPr>
      <t>. The following setpoints are used to control this mode of operation:</t>
    </r>
    <r>
      <rPr>
        <b/>
        <sz val="11"/>
        <color theme="1"/>
        <rFont val="Aptos Narrow"/>
        <family val="2"/>
        <scheme val="minor"/>
      </rPr>
      <t xml:space="preserve"> [list setpoints here]</t>
    </r>
    <r>
      <rPr>
        <sz val="11"/>
        <color theme="1"/>
        <rFont val="Aptos Narrow"/>
        <family val="2"/>
        <scheme val="minor"/>
      </rPr>
      <t xml:space="preserve">. The inverter provides sensed values to these components: </t>
    </r>
    <r>
      <rPr>
        <b/>
        <sz val="11"/>
        <color theme="1"/>
        <rFont val="Aptos Narrow"/>
        <family val="2"/>
        <scheme val="minor"/>
      </rPr>
      <t>[list components here]</t>
    </r>
    <r>
      <rPr>
        <sz val="11"/>
        <color theme="1"/>
        <rFont val="Aptos Narrow"/>
        <family val="2"/>
        <scheme val="minor"/>
      </rPr>
      <t xml:space="preserve">, and the inverter receives commands from these components: </t>
    </r>
    <r>
      <rPr>
        <b/>
        <sz val="11"/>
        <color theme="1"/>
        <rFont val="Aptos Narrow"/>
        <family val="2"/>
        <scheme val="minor"/>
      </rPr>
      <t>[list components here]</t>
    </r>
    <r>
      <rPr>
        <sz val="11"/>
        <color theme="1"/>
        <rFont val="Aptos Narrow"/>
        <family val="2"/>
        <scheme val="minor"/>
      </rPr>
      <t>.</t>
    </r>
  </si>
  <si>
    <r>
      <t xml:space="preserve">The primary function is to interface the BESS with the electrical grid or load such that the necessary voltage and frequency reference to form a microgrid and allowing a group of loads to operate in isolation from the main grid. The inverter has the following power rating: </t>
    </r>
    <r>
      <rPr>
        <b/>
        <sz val="11"/>
        <color theme="1"/>
        <rFont val="Aptos Narrow"/>
        <family val="2"/>
        <scheme val="minor"/>
      </rPr>
      <t>[powerRating]</t>
    </r>
    <r>
      <rPr>
        <sz val="11"/>
        <color theme="1"/>
        <rFont val="Aptos Narrow"/>
        <family val="2"/>
        <scheme val="minor"/>
      </rPr>
      <t xml:space="preserve">. The response time for this mode of operation is </t>
    </r>
    <r>
      <rPr>
        <b/>
        <sz val="11"/>
        <color theme="1"/>
        <rFont val="Aptos Narrow"/>
        <family val="2"/>
        <scheme val="minor"/>
      </rPr>
      <t>[modeResponseTime]</t>
    </r>
    <r>
      <rPr>
        <sz val="11"/>
        <color theme="1"/>
        <rFont val="Aptos Narrow"/>
        <family val="2"/>
        <scheme val="minor"/>
      </rPr>
      <t xml:space="preserve">. The inverter performs this action: </t>
    </r>
    <r>
      <rPr>
        <b/>
        <sz val="11"/>
        <color theme="1"/>
        <rFont val="Aptos Narrow"/>
        <family val="2"/>
        <scheme val="minor"/>
      </rPr>
      <t>[action]</t>
    </r>
    <r>
      <rPr>
        <sz val="11"/>
        <color theme="1"/>
        <rFont val="Aptos Narrow"/>
        <family val="2"/>
        <scheme val="minor"/>
      </rPr>
      <t xml:space="preserve"> when dealing with the heat generated during this mode of operation and is meant to operate in this range: </t>
    </r>
    <r>
      <rPr>
        <b/>
        <sz val="11"/>
        <color theme="1"/>
        <rFont val="Aptos Narrow"/>
        <family val="2"/>
        <scheme val="minor"/>
      </rPr>
      <t>[TempMin]</t>
    </r>
    <r>
      <rPr>
        <sz val="11"/>
        <color theme="1"/>
        <rFont val="Aptos Narrow"/>
        <family val="2"/>
        <scheme val="minor"/>
      </rPr>
      <t xml:space="preserve"> to </t>
    </r>
    <r>
      <rPr>
        <b/>
        <sz val="11"/>
        <color theme="1"/>
        <rFont val="Aptos Narrow"/>
        <family val="2"/>
        <scheme val="minor"/>
      </rPr>
      <t>[TempMax]</t>
    </r>
    <r>
      <rPr>
        <sz val="11"/>
        <color theme="1"/>
        <rFont val="Aptos Narrow"/>
        <family val="2"/>
        <scheme val="minor"/>
      </rPr>
      <t xml:space="preserve">. The inverter has the following grid support features: </t>
    </r>
    <r>
      <rPr>
        <b/>
        <sz val="11"/>
        <color theme="1"/>
        <rFont val="Aptos Narrow"/>
        <family val="2"/>
        <scheme val="minor"/>
      </rPr>
      <t>[list features here (i.e. low/high voltage ride-through, phase imbalance correction, etc.)]</t>
    </r>
    <r>
      <rPr>
        <sz val="11"/>
        <color theme="1"/>
        <rFont val="Aptos Narrow"/>
        <family val="2"/>
        <scheme val="minor"/>
      </rPr>
      <t>. The number of inverters are connected to support this mode of operation is</t>
    </r>
    <r>
      <rPr>
        <b/>
        <sz val="11"/>
        <color theme="1"/>
        <rFont val="Aptos Narrow"/>
        <family val="2"/>
        <scheme val="minor"/>
      </rPr>
      <t xml:space="preserve"> [#]</t>
    </r>
    <r>
      <rPr>
        <sz val="11"/>
        <color theme="1"/>
        <rFont val="Aptos Narrow"/>
        <family val="2"/>
        <scheme val="minor"/>
      </rPr>
      <t xml:space="preserve">. The following setpoints are used to control this mode of operation: </t>
    </r>
    <r>
      <rPr>
        <b/>
        <sz val="11"/>
        <color theme="1"/>
        <rFont val="Aptos Narrow"/>
        <family val="2"/>
        <scheme val="minor"/>
      </rPr>
      <t>[list setpoints here]</t>
    </r>
    <r>
      <rPr>
        <sz val="11"/>
        <color theme="1"/>
        <rFont val="Aptos Narrow"/>
        <family val="2"/>
        <scheme val="minor"/>
      </rPr>
      <t xml:space="preserve">. The inverter provides sensed values to these components: </t>
    </r>
    <r>
      <rPr>
        <b/>
        <sz val="11"/>
        <color theme="1"/>
        <rFont val="Aptos Narrow"/>
        <family val="2"/>
        <scheme val="minor"/>
      </rPr>
      <t>[list components here]</t>
    </r>
    <r>
      <rPr>
        <sz val="11"/>
        <color theme="1"/>
        <rFont val="Aptos Narrow"/>
        <family val="2"/>
        <scheme val="minor"/>
      </rPr>
      <t>, and the inverter receives commands from these components:</t>
    </r>
    <r>
      <rPr>
        <b/>
        <sz val="11"/>
        <color theme="1"/>
        <rFont val="Aptos Narrow"/>
        <family val="2"/>
        <scheme val="minor"/>
      </rPr>
      <t xml:space="preserve"> [list components here]</t>
    </r>
    <r>
      <rPr>
        <sz val="11"/>
        <color theme="1"/>
        <rFont val="Aptos Narrow"/>
        <family val="2"/>
        <scheme val="minor"/>
      </rPr>
      <t>.</t>
    </r>
  </si>
  <si>
    <t>Not Applicable</t>
  </si>
  <si>
    <r>
      <t xml:space="preserve">The primary function is to monitor and control the entire BESS portfolio by collecting data from multiple installations and components and execute frequency regulation control commands. The following parameters are communicated to the SCADA server: </t>
    </r>
    <r>
      <rPr>
        <b/>
        <sz val="11"/>
        <color theme="1"/>
        <rFont val="Aptos Narrow"/>
        <family val="2"/>
        <scheme val="minor"/>
      </rPr>
      <t>[list]</t>
    </r>
    <r>
      <rPr>
        <sz val="11"/>
        <color theme="1"/>
        <rFont val="Aptos Narrow"/>
        <family val="2"/>
        <scheme val="minor"/>
      </rPr>
      <t xml:space="preserve">. The following parameters are sent as commands from the SCADA server to other components: </t>
    </r>
    <r>
      <rPr>
        <b/>
        <sz val="11"/>
        <color theme="1"/>
        <rFont val="Aptos Narrow"/>
        <family val="2"/>
        <scheme val="minor"/>
      </rPr>
      <t>[List (component - parameters, ...)]</t>
    </r>
    <r>
      <rPr>
        <sz val="11"/>
        <color theme="1"/>
        <rFont val="Aptos Narrow"/>
        <family val="2"/>
        <scheme val="minor"/>
      </rPr>
      <t>. Examples of parameters include: contributions to grid frequency stabilization, logging the frequency deviations, the response times of the BESS, and the amount of energy absorbed or discharged during each event, the frequency response setpoints, the compliance with grid operator requests.</t>
    </r>
  </si>
  <si>
    <r>
      <t xml:space="preserve">The primary function is to monitor and control the entire BESS portfolio by collecting data from multiple installations and components and execute voltage support control commands. The following parameters are communicated to the SCADA server: </t>
    </r>
    <r>
      <rPr>
        <b/>
        <sz val="11"/>
        <color theme="1"/>
        <rFont val="Aptos Narrow"/>
        <family val="2"/>
        <scheme val="minor"/>
      </rPr>
      <t>[list]</t>
    </r>
    <r>
      <rPr>
        <sz val="11"/>
        <color theme="1"/>
        <rFont val="Aptos Narrow"/>
        <family val="2"/>
        <scheme val="minor"/>
      </rPr>
      <t xml:space="preserve">. The following parameters are sent as commands from the SCADA server to other components: </t>
    </r>
    <r>
      <rPr>
        <b/>
        <sz val="11"/>
        <color theme="1"/>
        <rFont val="Aptos Narrow"/>
        <family val="2"/>
        <scheme val="minor"/>
      </rPr>
      <t>[List (component - parameters, ...)]</t>
    </r>
    <r>
      <rPr>
        <sz val="11"/>
        <color theme="1"/>
        <rFont val="Aptos Narrow"/>
        <family val="2"/>
        <scheme val="minor"/>
      </rPr>
      <t xml:space="preserve">. Examples of parameters include: the voltage levels on the grid, the reactive power provided by the BESS to support these levels, logging the inverter's VAR output, voltage setpoints, the duration and magnitude of voltage support events. </t>
    </r>
  </si>
  <si>
    <r>
      <t xml:space="preserve">The primary function is to monitor and control the entire BESS portfolio by collecting data from multiple installations and components and execute ramping/spinning reserve control commands. The following parameters are communicated to the SCADA server: </t>
    </r>
    <r>
      <rPr>
        <b/>
        <sz val="11"/>
        <color theme="1"/>
        <rFont val="Aptos Narrow"/>
        <family val="2"/>
        <scheme val="minor"/>
      </rPr>
      <t>[list]</t>
    </r>
    <r>
      <rPr>
        <sz val="11"/>
        <color theme="1"/>
        <rFont val="Aptos Narrow"/>
        <family val="2"/>
        <scheme val="minor"/>
      </rPr>
      <t xml:space="preserve">. The following parameters are sent as commands from the SCADA server to other components: </t>
    </r>
    <r>
      <rPr>
        <b/>
        <sz val="11"/>
        <color theme="1"/>
        <rFont val="Aptos Narrow"/>
        <family val="2"/>
        <scheme val="minor"/>
      </rPr>
      <t>[List (component - parameters, ...)]</t>
    </r>
    <r>
      <rPr>
        <sz val="11"/>
        <color theme="1"/>
        <rFont val="Aptos Narrow"/>
        <family val="2"/>
        <scheme val="minor"/>
      </rPr>
      <t>. Examples of parameters include: the ramp rates, the power levels that the BESS is capable of delivering on short notice, the reserved power capacity, the response time for deployment, the actual energy output during reserve events.</t>
    </r>
  </si>
  <si>
    <r>
      <t xml:space="preserve">The primary function is to monitor and control the entire BESS portfolio by collecting data from multiple installations and components and execute load following control commands. The following parameters are communicated to the SCADA server: </t>
    </r>
    <r>
      <rPr>
        <b/>
        <sz val="11"/>
        <color theme="1"/>
        <rFont val="Aptos Narrow"/>
        <family val="2"/>
        <scheme val="minor"/>
      </rPr>
      <t>[list]</t>
    </r>
    <r>
      <rPr>
        <sz val="11"/>
        <color theme="1"/>
        <rFont val="Aptos Narrow"/>
        <family val="2"/>
        <scheme val="minor"/>
      </rPr>
      <t xml:space="preserve">. The following parameters are sent as commands from the SCADA server to other components: </t>
    </r>
    <r>
      <rPr>
        <b/>
        <sz val="11"/>
        <color theme="1"/>
        <rFont val="Aptos Narrow"/>
        <family val="2"/>
        <scheme val="minor"/>
      </rPr>
      <t>[List (component - parameters, ...)]</t>
    </r>
    <r>
      <rPr>
        <sz val="11"/>
        <color theme="1"/>
        <rFont val="Aptos Narrow"/>
        <family val="2"/>
        <scheme val="minor"/>
      </rPr>
      <t>. Examples of parameters include: real-time load demand, how the BESS output is being adjusted to match the load, detailed load profiles, the tracking accuracy of the BESS, the energy discharged or charged in response to load changes.</t>
    </r>
  </si>
  <si>
    <r>
      <t xml:space="preserve">The primary function is to monitor and control the entire BESS portfolio by collecting data from multiple installations and components and execute peak shaving control commands. The following parameters are communicated to the SCADA server: </t>
    </r>
    <r>
      <rPr>
        <b/>
        <sz val="11"/>
        <color theme="1"/>
        <rFont val="Aptos Narrow"/>
        <family val="2"/>
        <scheme val="minor"/>
      </rPr>
      <t>[list]</t>
    </r>
    <r>
      <rPr>
        <sz val="11"/>
        <color theme="1"/>
        <rFont val="Aptos Narrow"/>
        <family val="2"/>
        <scheme val="minor"/>
      </rPr>
      <t xml:space="preserve">. The following parameters are sent as commands from the SCADA server to other components: </t>
    </r>
    <r>
      <rPr>
        <b/>
        <sz val="11"/>
        <color theme="1"/>
        <rFont val="Aptos Narrow"/>
        <family val="2"/>
        <scheme val="minor"/>
      </rPr>
      <t>[List (component - parameters, ...)]</t>
    </r>
    <r>
      <rPr>
        <sz val="11"/>
        <color theme="1"/>
        <rFont val="Aptos Narrow"/>
        <family val="2"/>
        <scheme val="minor"/>
      </rPr>
      <t>. Examples of parameters include: peak demand periods, manages the BESS's discharge to reduce energy consumption during the periods, logging the peak load, the energy discharged to shave the peak, the corresponding reduction in demand charges or avoided costs.</t>
    </r>
  </si>
  <si>
    <r>
      <t xml:space="preserve">The primary function is to monitor and control the entire BESS portfolio by collecting data from multiple installations and components and execute backup power control commands. The following parameters are communicated to the SCADA server: </t>
    </r>
    <r>
      <rPr>
        <b/>
        <sz val="11"/>
        <color theme="1"/>
        <rFont val="Aptos Narrow"/>
        <family val="2"/>
        <scheme val="minor"/>
      </rPr>
      <t>[list]</t>
    </r>
    <r>
      <rPr>
        <sz val="11"/>
        <color theme="1"/>
        <rFont val="Aptos Narrow"/>
        <family val="2"/>
        <scheme val="minor"/>
      </rPr>
      <t xml:space="preserve">. The following parameters are sent as commands from the SCADA server to other components: </t>
    </r>
    <r>
      <rPr>
        <b/>
        <sz val="11"/>
        <color theme="1"/>
        <rFont val="Aptos Narrow"/>
        <family val="2"/>
        <scheme val="minor"/>
      </rPr>
      <t>[List (component - parameters, ...)]</t>
    </r>
    <r>
      <rPr>
        <sz val="11"/>
        <color theme="1"/>
        <rFont val="Aptos Narrow"/>
        <family val="2"/>
        <scheme val="minor"/>
      </rPr>
      <t>. Examples of parameters include: the transition from grid-connected to islanded mode, status of the BESS provisioned power to critical loads during an outage, the battery's State of Charge, the estimated backup duration, the duration and amount of power supplied during backup events. **This may be lost if the communication pathway from the BESS to the SCADA server is lost during backup power periods**</t>
    </r>
  </si>
  <si>
    <r>
      <t xml:space="preserve">The primary function is to monitor and control the entire BESS portfolio by collecting data from multiple installations and components and execute black start control commands. The following parameters are communicated to the SCADA server: </t>
    </r>
    <r>
      <rPr>
        <b/>
        <sz val="11"/>
        <color theme="1"/>
        <rFont val="Aptos Narrow"/>
        <family val="2"/>
        <scheme val="minor"/>
      </rPr>
      <t>[list]</t>
    </r>
    <r>
      <rPr>
        <sz val="11"/>
        <color theme="1"/>
        <rFont val="Aptos Narrow"/>
        <family val="2"/>
        <scheme val="minor"/>
      </rPr>
      <t xml:space="preserve">. The following parameters are sent as commands from the SCADA server to other components: </t>
    </r>
    <r>
      <rPr>
        <b/>
        <sz val="11"/>
        <color theme="1"/>
        <rFont val="Aptos Narrow"/>
        <family val="2"/>
        <scheme val="minor"/>
      </rPr>
      <t>[List (component - parameters, ...)]</t>
    </r>
    <r>
      <rPr>
        <sz val="11"/>
        <color theme="1"/>
        <rFont val="Aptos Narrow"/>
        <family val="2"/>
        <scheme val="minor"/>
      </rPr>
      <t>. Examples of parameters include: the steps required to restart portions of the grid using energy from the BESS (the black start procedures), the synchronization to the grid, logging the startup sequence. **This may be lost if the communication pathway from the BESS to the SCADA server is lost during backup power periods**</t>
    </r>
  </si>
  <si>
    <r>
      <t xml:space="preserve">The primary function is to monitor and control the entire BESS portfolio by collecting data from multiple installations and components and execute island grid forming control commands. The following parameters are communicated to the SCADA server: </t>
    </r>
    <r>
      <rPr>
        <b/>
        <sz val="11"/>
        <color theme="1"/>
        <rFont val="Aptos Narrow"/>
        <family val="2"/>
        <scheme val="minor"/>
      </rPr>
      <t>[list]</t>
    </r>
    <r>
      <rPr>
        <sz val="11"/>
        <color theme="1"/>
        <rFont val="Aptos Narrow"/>
        <family val="2"/>
        <scheme val="minor"/>
      </rPr>
      <t xml:space="preserve">. The following parameters are sent as commands from the SCADA server to other components: </t>
    </r>
    <r>
      <rPr>
        <b/>
        <sz val="11"/>
        <color theme="1"/>
        <rFont val="Aptos Narrow"/>
        <family val="2"/>
        <scheme val="minor"/>
      </rPr>
      <t>[List (component - parameters, ...)]</t>
    </r>
    <r>
      <rPr>
        <sz val="11"/>
        <color theme="1"/>
        <rFont val="Aptos Narrow"/>
        <family val="2"/>
        <scheme val="minor"/>
      </rPr>
      <t>. Examples of parameters include: BESS's role in maintaining stable operation of a microgrid, the local grid's frequency and voltage, BESS's contribution to stability, logging any transitions between islanded and grid-connected operations.**This may be lost if the communication pathway from the BESS to the SCADA server is lost during backup power periods**</t>
    </r>
  </si>
  <si>
    <r>
      <t xml:space="preserve">The primary function is to display system information, allow for manual control and adjustment of frequency regulation system parameters, and provide frequency regulation status updates and alarms. The following parameters are communicated to the HMI: </t>
    </r>
    <r>
      <rPr>
        <b/>
        <sz val="11"/>
        <color theme="1"/>
        <rFont val="Aptos Narrow"/>
        <family val="2"/>
        <scheme val="minor"/>
      </rPr>
      <t>[list]</t>
    </r>
    <r>
      <rPr>
        <sz val="11"/>
        <color theme="1"/>
        <rFont val="Aptos Narrow"/>
        <family val="2"/>
        <scheme val="minor"/>
      </rPr>
      <t xml:space="preserve">. The following parameters are sent as commands from the HMI to other components: </t>
    </r>
    <r>
      <rPr>
        <b/>
        <sz val="11"/>
        <color theme="1"/>
        <rFont val="Aptos Narrow"/>
        <family val="2"/>
        <scheme val="minor"/>
      </rPr>
      <t>[List (component - parameters, ...)]</t>
    </r>
    <r>
      <rPr>
        <sz val="11"/>
        <color theme="1"/>
        <rFont val="Aptos Narrow"/>
        <family val="2"/>
        <scheme val="minor"/>
      </rPr>
      <t xml:space="preserve">. The local HMI </t>
    </r>
    <r>
      <rPr>
        <b/>
        <sz val="11"/>
        <color theme="1"/>
        <rFont val="Aptos Narrow"/>
        <family val="2"/>
        <scheme val="minor"/>
      </rPr>
      <t>[is able|is not able]</t>
    </r>
    <r>
      <rPr>
        <sz val="11"/>
        <color theme="1"/>
        <rFont val="Aptos Narrow"/>
        <family val="2"/>
        <scheme val="minor"/>
      </rPr>
      <t xml:space="preserve"> to operate without a connection to the SCADA server. Examples of parameters include: grid frequency, SoC of the batteries, power being dispatched or absorbed to maintain frequency, response time settings.</t>
    </r>
  </si>
  <si>
    <r>
      <t xml:space="preserve">The primary function is to display system information, allow for manual control and adjustment of voltage support system parameters, and provide voltage support status updates and alarms. The following parameters are communicated to the HMI: </t>
    </r>
    <r>
      <rPr>
        <b/>
        <sz val="11"/>
        <color theme="1"/>
        <rFont val="Aptos Narrow"/>
        <family val="2"/>
        <scheme val="minor"/>
      </rPr>
      <t>[list]</t>
    </r>
    <r>
      <rPr>
        <sz val="11"/>
        <color theme="1"/>
        <rFont val="Aptos Narrow"/>
        <family val="2"/>
        <scheme val="minor"/>
      </rPr>
      <t xml:space="preserve">. The following parameters are sent as commands from the HMI to other components: </t>
    </r>
    <r>
      <rPr>
        <b/>
        <sz val="11"/>
        <color theme="1"/>
        <rFont val="Aptos Narrow"/>
        <family val="2"/>
        <scheme val="minor"/>
      </rPr>
      <t>[List (component - parameters, ...)]</t>
    </r>
    <r>
      <rPr>
        <sz val="11"/>
        <color theme="1"/>
        <rFont val="Aptos Narrow"/>
        <family val="2"/>
        <scheme val="minor"/>
      </rPr>
      <t xml:space="preserve">. The local HMI </t>
    </r>
    <r>
      <rPr>
        <b/>
        <sz val="11"/>
        <color theme="1"/>
        <rFont val="Aptos Narrow"/>
        <family val="2"/>
        <scheme val="minor"/>
      </rPr>
      <t>[is able|is not able]</t>
    </r>
    <r>
      <rPr>
        <sz val="11"/>
        <color theme="1"/>
        <rFont val="Aptos Narrow"/>
        <family val="2"/>
        <scheme val="minor"/>
      </rPr>
      <t xml:space="preserve"> to operate without a connection to the SCADA server. Examples of parameters include: voltage levels of the grid and batteries, the reactive power being injected or absorbed, voltage threshold control settings, reactive power limits.</t>
    </r>
  </si>
  <si>
    <r>
      <t xml:space="preserve">The primary function is to display system information, allow for manual control and adjustment of ramping/spinning reserve system parameters, and provide ramping/spinning reserve status updates and alarms. The following parameters are communicated to the HMI: </t>
    </r>
    <r>
      <rPr>
        <b/>
        <sz val="11"/>
        <color theme="1"/>
        <rFont val="Aptos Narrow"/>
        <family val="2"/>
        <scheme val="minor"/>
      </rPr>
      <t>[list]</t>
    </r>
    <r>
      <rPr>
        <sz val="11"/>
        <color theme="1"/>
        <rFont val="Aptos Narrow"/>
        <family val="2"/>
        <scheme val="minor"/>
      </rPr>
      <t xml:space="preserve">. The following parameters are sent as commands from the HMI to other components: </t>
    </r>
    <r>
      <rPr>
        <b/>
        <sz val="11"/>
        <color theme="1"/>
        <rFont val="Aptos Narrow"/>
        <family val="2"/>
        <scheme val="minor"/>
      </rPr>
      <t>[List (component - parameters, ...)]</t>
    </r>
    <r>
      <rPr>
        <sz val="11"/>
        <color theme="1"/>
        <rFont val="Aptos Narrow"/>
        <family val="2"/>
        <scheme val="minor"/>
      </rPr>
      <t xml:space="preserve">. The local HMI </t>
    </r>
    <r>
      <rPr>
        <b/>
        <sz val="11"/>
        <color theme="1"/>
        <rFont val="Aptos Narrow"/>
        <family val="2"/>
        <scheme val="minor"/>
      </rPr>
      <t>[is able|is not able]</t>
    </r>
    <r>
      <rPr>
        <sz val="11"/>
        <color theme="1"/>
        <rFont val="Aptos Narrow"/>
        <family val="2"/>
        <scheme val="minor"/>
      </rPr>
      <t xml:space="preserve"> to operate without a connection to the SCADA server. Examples of parameters include: readiness state of the BESS to deliver power, ramp rate settings, reserved power capacity available, dispatch instructions, time required to reach full power, time that reserved power can be maintained.</t>
    </r>
  </si>
  <si>
    <r>
      <t xml:space="preserve">The primary function is to display system information, allow for manual control and adjustment of load following system parameters, and provide load following status updates and alarms. The following parameters are communicated to the HMI: </t>
    </r>
    <r>
      <rPr>
        <b/>
        <sz val="11"/>
        <color theme="1"/>
        <rFont val="Aptos Narrow"/>
        <family val="2"/>
        <scheme val="minor"/>
      </rPr>
      <t>[list]</t>
    </r>
    <r>
      <rPr>
        <sz val="11"/>
        <color theme="1"/>
        <rFont val="Aptos Narrow"/>
        <family val="2"/>
        <scheme val="minor"/>
      </rPr>
      <t xml:space="preserve">. The following parameters are sent as commands from the HMI to other components: </t>
    </r>
    <r>
      <rPr>
        <b/>
        <sz val="11"/>
        <color theme="1"/>
        <rFont val="Aptos Narrow"/>
        <family val="2"/>
        <scheme val="minor"/>
      </rPr>
      <t>[List (component - parameters, ...)]</t>
    </r>
    <r>
      <rPr>
        <sz val="11"/>
        <color theme="1"/>
        <rFont val="Aptos Narrow"/>
        <family val="2"/>
        <scheme val="minor"/>
      </rPr>
      <t xml:space="preserve">. The local HMI </t>
    </r>
    <r>
      <rPr>
        <b/>
        <sz val="11"/>
        <color theme="1"/>
        <rFont val="Aptos Narrow"/>
        <family val="2"/>
        <scheme val="minor"/>
      </rPr>
      <t>[is able|is not able]</t>
    </r>
    <r>
      <rPr>
        <sz val="11"/>
        <color theme="1"/>
        <rFont val="Aptos Narrow"/>
        <family val="2"/>
        <scheme val="minor"/>
      </rPr>
      <t xml:space="preserve"> to operate without a connection to the SCADA server. Examples of parameters include: load profile, power output/input in relation to the load, adjustments made to follow load fluctuations, predictive load changes, controls for load following accuracy and response rates.</t>
    </r>
  </si>
  <si>
    <r>
      <t xml:space="preserve">The primary function is to display system information, allow for manual control and adjustment of peak shaving system parameters, and provide peak shaving status updates and alarms. The following parameters are communicated to the HMI: </t>
    </r>
    <r>
      <rPr>
        <b/>
        <sz val="11"/>
        <color theme="1"/>
        <rFont val="Aptos Narrow"/>
        <family val="2"/>
        <scheme val="minor"/>
      </rPr>
      <t>[list]</t>
    </r>
    <r>
      <rPr>
        <sz val="11"/>
        <color theme="1"/>
        <rFont val="Aptos Narrow"/>
        <family val="2"/>
        <scheme val="minor"/>
      </rPr>
      <t xml:space="preserve">. The following parameters are sent as commands from the HMI to other components: </t>
    </r>
    <r>
      <rPr>
        <b/>
        <sz val="11"/>
        <color theme="1"/>
        <rFont val="Aptos Narrow"/>
        <family val="2"/>
        <scheme val="minor"/>
      </rPr>
      <t>[List (component - parameters, ...)]</t>
    </r>
    <r>
      <rPr>
        <sz val="11"/>
        <color theme="1"/>
        <rFont val="Aptos Narrow"/>
        <family val="2"/>
        <scheme val="minor"/>
      </rPr>
      <t xml:space="preserve">. The local HMI </t>
    </r>
    <r>
      <rPr>
        <b/>
        <sz val="11"/>
        <color theme="1"/>
        <rFont val="Aptos Narrow"/>
        <family val="2"/>
        <scheme val="minor"/>
      </rPr>
      <t>[is able|is not able]</t>
    </r>
    <r>
      <rPr>
        <sz val="11"/>
        <color theme="1"/>
        <rFont val="Aptos Narrow"/>
        <family val="2"/>
        <scheme val="minor"/>
      </rPr>
      <t xml:space="preserve"> to operate without a connection to the SCADA server. Examples of parameters include: peak demand times, contribution (i.e. energy discharged) to meeting the peaks, energy savings achieved, scheduling activities based on trends, control dischange limits.</t>
    </r>
  </si>
  <si>
    <r>
      <t xml:space="preserve">The primary function is to display system information, allow for manual control and adjustment of backup power system parameters, and provide backup power status updates and alarms. The following parameters are communicated to the HMI: </t>
    </r>
    <r>
      <rPr>
        <b/>
        <sz val="11"/>
        <color theme="1"/>
        <rFont val="Aptos Narrow"/>
        <family val="2"/>
        <scheme val="minor"/>
      </rPr>
      <t>[list]</t>
    </r>
    <r>
      <rPr>
        <sz val="11"/>
        <color theme="1"/>
        <rFont val="Aptos Narrow"/>
        <family val="2"/>
        <scheme val="minor"/>
      </rPr>
      <t xml:space="preserve">. The following parameters are sent as commands from the HMI to other components: </t>
    </r>
    <r>
      <rPr>
        <b/>
        <sz val="11"/>
        <color theme="1"/>
        <rFont val="Aptos Narrow"/>
        <family val="2"/>
        <scheme val="minor"/>
      </rPr>
      <t>[List (component - parameters, ...)]</t>
    </r>
    <r>
      <rPr>
        <sz val="11"/>
        <color theme="1"/>
        <rFont val="Aptos Narrow"/>
        <family val="2"/>
        <scheme val="minor"/>
      </rPr>
      <t xml:space="preserve">. The local HMI </t>
    </r>
    <r>
      <rPr>
        <b/>
        <sz val="11"/>
        <color theme="1"/>
        <rFont val="Aptos Narrow"/>
        <family val="2"/>
        <scheme val="minor"/>
      </rPr>
      <t>[is able|is not able]</t>
    </r>
    <r>
      <rPr>
        <sz val="11"/>
        <color theme="1"/>
        <rFont val="Aptos Narrow"/>
        <family val="2"/>
        <scheme val="minor"/>
      </rPr>
      <t xml:space="preserve"> to operate without a connection to the SCADA server. Examples of parameters include: ability to supply power to the load, duration provided, transitions between grid-connected/islanded operation, State of Charge, backup power delivery, manual initiation of backup power mode.</t>
    </r>
  </si>
  <si>
    <r>
      <t xml:space="preserve">The primary function is to display system information, allow for manual control and adjustment of black start system parameters, and provide black start status updates and alarms. The following parameters are communicated to the HMI: </t>
    </r>
    <r>
      <rPr>
        <b/>
        <sz val="11"/>
        <color theme="1"/>
        <rFont val="Aptos Narrow"/>
        <family val="2"/>
        <scheme val="minor"/>
      </rPr>
      <t>[list]</t>
    </r>
    <r>
      <rPr>
        <sz val="11"/>
        <color theme="1"/>
        <rFont val="Aptos Narrow"/>
        <family val="2"/>
        <scheme val="minor"/>
      </rPr>
      <t xml:space="preserve">. The following parameters are sent as commands from the HMI to other components: </t>
    </r>
    <r>
      <rPr>
        <b/>
        <sz val="11"/>
        <color theme="1"/>
        <rFont val="Aptos Narrow"/>
        <family val="2"/>
        <scheme val="minor"/>
      </rPr>
      <t>[List (component - parameters, ...)]</t>
    </r>
    <r>
      <rPr>
        <sz val="11"/>
        <color theme="1"/>
        <rFont val="Aptos Narrow"/>
        <family val="2"/>
        <scheme val="minor"/>
      </rPr>
      <t xml:space="preserve">. The local HMI </t>
    </r>
    <r>
      <rPr>
        <b/>
        <sz val="11"/>
        <color theme="1"/>
        <rFont val="Aptos Narrow"/>
        <family val="2"/>
        <scheme val="minor"/>
      </rPr>
      <t>[is able|is not able]</t>
    </r>
    <r>
      <rPr>
        <sz val="11"/>
        <color theme="1"/>
        <rFont val="Aptos Narrow"/>
        <family val="2"/>
        <scheme val="minor"/>
      </rPr>
      <t xml:space="preserve"> to operate without a connection to the SCADA server. Examples of parameters include: State of Charge, available power, system readiness, sequence of steps, synchronization status to the grid.</t>
    </r>
  </si>
  <si>
    <r>
      <t xml:space="preserve">The primary function is to display system information, allow for manual control and adjustment of island grid forming system parameters, and provide island grid forming status updates and alarms. The following parameters are communicated to the HMI: </t>
    </r>
    <r>
      <rPr>
        <b/>
        <sz val="11"/>
        <color theme="1"/>
        <rFont val="Aptos Narrow"/>
        <family val="2"/>
        <scheme val="minor"/>
      </rPr>
      <t>[list]</t>
    </r>
    <r>
      <rPr>
        <sz val="11"/>
        <color theme="1"/>
        <rFont val="Aptos Narrow"/>
        <family val="2"/>
        <scheme val="minor"/>
      </rPr>
      <t xml:space="preserve">. The following parameters are sent as commands from the HMI to other components: </t>
    </r>
    <r>
      <rPr>
        <b/>
        <sz val="11"/>
        <color theme="1"/>
        <rFont val="Aptos Narrow"/>
        <family val="2"/>
        <scheme val="minor"/>
      </rPr>
      <t>[List (component - parameters, ...)]</t>
    </r>
    <r>
      <rPr>
        <sz val="11"/>
        <color theme="1"/>
        <rFont val="Aptos Narrow"/>
        <family val="2"/>
        <scheme val="minor"/>
      </rPr>
      <t xml:space="preserve">. The local HMI </t>
    </r>
    <r>
      <rPr>
        <b/>
        <sz val="11"/>
        <color theme="1"/>
        <rFont val="Aptos Narrow"/>
        <family val="2"/>
        <scheme val="minor"/>
      </rPr>
      <t>[is able|is not able]</t>
    </r>
    <r>
      <rPr>
        <sz val="11"/>
        <color theme="1"/>
        <rFont val="Aptos Narrow"/>
        <family val="2"/>
        <scheme val="minor"/>
      </rPr>
      <t xml:space="preserve"> to operate without a connection to the SCADA server. Examples of parameters include: microgrid's frequency level, microgrid's voltage level, stability controls, role in forming and stablizing the islanded grid, synchronization status to the grid, manual initiation for islanding mode.</t>
    </r>
  </si>
  <si>
    <r>
      <t xml:space="preserve">The primary function is to measure the direct electrical input and output of the BESS system, providing real-time data on the power and energy being charged or discharged, respectively. The following parameters are communicated to other components: </t>
    </r>
    <r>
      <rPr>
        <b/>
        <sz val="11"/>
        <color theme="1"/>
        <rFont val="Aptos Narrow"/>
        <family val="2"/>
        <scheme val="minor"/>
      </rPr>
      <t>[List (component - parameters, ...)]</t>
    </r>
    <r>
      <rPr>
        <sz val="11"/>
        <color theme="1"/>
        <rFont val="Aptos Narrow"/>
        <family val="2"/>
        <scheme val="minor"/>
      </rPr>
      <t xml:space="preserve">. Examples of parameters include: voltage, current, real power, reactive power, energy, power factor, frequency, harmonics, peak values, charge/discharge cycles. The meter provides about </t>
    </r>
    <r>
      <rPr>
        <b/>
        <sz val="11"/>
        <color theme="1"/>
        <rFont val="Aptos Narrow"/>
        <family val="2"/>
        <scheme val="minor"/>
      </rPr>
      <t>[Accuracy]</t>
    </r>
    <r>
      <rPr>
        <sz val="11"/>
        <color theme="1"/>
        <rFont val="Aptos Narrow"/>
        <family val="2"/>
        <scheme val="minor"/>
      </rPr>
      <t xml:space="preserve">% accuracy in its measurements. The measurement range for voltage is </t>
    </r>
    <r>
      <rPr>
        <b/>
        <sz val="11"/>
        <color theme="1"/>
        <rFont val="Aptos Narrow"/>
        <family val="2"/>
        <scheme val="minor"/>
      </rPr>
      <t>[VoltMin]</t>
    </r>
    <r>
      <rPr>
        <sz val="11"/>
        <color theme="1"/>
        <rFont val="Aptos Narrow"/>
        <family val="2"/>
        <scheme val="minor"/>
      </rPr>
      <t xml:space="preserve"> to </t>
    </r>
    <r>
      <rPr>
        <b/>
        <sz val="11"/>
        <color theme="1"/>
        <rFont val="Aptos Narrow"/>
        <family val="2"/>
        <scheme val="minor"/>
      </rPr>
      <t>[VoltMax]</t>
    </r>
    <r>
      <rPr>
        <sz val="11"/>
        <color theme="1"/>
        <rFont val="Aptos Narrow"/>
        <family val="2"/>
        <scheme val="minor"/>
      </rPr>
      <t xml:space="preserve">, and the range for current is </t>
    </r>
    <r>
      <rPr>
        <b/>
        <sz val="11"/>
        <color theme="1"/>
        <rFont val="Aptos Narrow"/>
        <family val="2"/>
        <scheme val="minor"/>
      </rPr>
      <t>[CurrMin]</t>
    </r>
    <r>
      <rPr>
        <sz val="11"/>
        <color theme="1"/>
        <rFont val="Aptos Narrow"/>
        <family val="2"/>
        <scheme val="minor"/>
      </rPr>
      <t xml:space="preserve"> to </t>
    </r>
    <r>
      <rPr>
        <b/>
        <sz val="11"/>
        <color theme="1"/>
        <rFont val="Aptos Narrow"/>
        <family val="2"/>
        <scheme val="minor"/>
      </rPr>
      <t>[CurrMax]</t>
    </r>
    <r>
      <rPr>
        <sz val="11"/>
        <color theme="1"/>
        <rFont val="Aptos Narrow"/>
        <family val="2"/>
        <scheme val="minor"/>
      </rPr>
      <t xml:space="preserve">. The voltage resolution is </t>
    </r>
    <r>
      <rPr>
        <b/>
        <sz val="11"/>
        <color theme="1"/>
        <rFont val="Aptos Narrow"/>
        <family val="2"/>
        <scheme val="minor"/>
      </rPr>
      <t>[Vres]</t>
    </r>
    <r>
      <rPr>
        <sz val="11"/>
        <color theme="1"/>
        <rFont val="Aptos Narrow"/>
        <family val="2"/>
        <scheme val="minor"/>
      </rPr>
      <t>, current resolution is</t>
    </r>
    <r>
      <rPr>
        <b/>
        <sz val="11"/>
        <color theme="1"/>
        <rFont val="Aptos Narrow"/>
        <family val="2"/>
        <scheme val="minor"/>
      </rPr>
      <t xml:space="preserve"> [Ares]</t>
    </r>
    <r>
      <rPr>
        <sz val="11"/>
        <color theme="1"/>
        <rFont val="Aptos Narrow"/>
        <family val="2"/>
        <scheme val="minor"/>
      </rPr>
      <t xml:space="preserve">, frequency resolution is </t>
    </r>
    <r>
      <rPr>
        <b/>
        <sz val="11"/>
        <color theme="1"/>
        <rFont val="Aptos Narrow"/>
        <family val="2"/>
        <scheme val="minor"/>
      </rPr>
      <t>[Fres]</t>
    </r>
    <r>
      <rPr>
        <sz val="11"/>
        <color theme="1"/>
        <rFont val="Aptos Narrow"/>
        <family val="2"/>
        <scheme val="minor"/>
      </rPr>
      <t xml:space="preserve">. This Battery Meter provides monitor in </t>
    </r>
    <r>
      <rPr>
        <b/>
        <sz val="11"/>
        <color theme="1"/>
        <rFont val="Aptos Narrow"/>
        <family val="2"/>
        <scheme val="minor"/>
      </rPr>
      <t>[both|in-bound|out-bound]</t>
    </r>
    <r>
      <rPr>
        <sz val="11"/>
        <color theme="1"/>
        <rFont val="Aptos Narrow"/>
        <family val="2"/>
        <scheme val="minor"/>
      </rPr>
      <t xml:space="preserve"> power flows. Local data logging can be maintained for </t>
    </r>
    <r>
      <rPr>
        <b/>
        <sz val="11"/>
        <color theme="1"/>
        <rFont val="Aptos Narrow"/>
        <family val="2"/>
        <scheme val="minor"/>
      </rPr>
      <t>[X seconds|minutes|hours|days]</t>
    </r>
    <r>
      <rPr>
        <sz val="11"/>
        <color theme="1"/>
        <rFont val="Aptos Narrow"/>
        <family val="2"/>
        <scheme val="minor"/>
      </rPr>
      <t xml:space="preserve">. A local display </t>
    </r>
    <r>
      <rPr>
        <b/>
        <sz val="11"/>
        <color theme="1"/>
        <rFont val="Aptos Narrow"/>
        <family val="2"/>
        <scheme val="minor"/>
      </rPr>
      <t>[is|is not]</t>
    </r>
    <r>
      <rPr>
        <sz val="11"/>
        <color theme="1"/>
        <rFont val="Aptos Narrow"/>
        <family val="2"/>
        <scheme val="minor"/>
      </rPr>
      <t xml:space="preserve"> available for on-site monitoring and configuration. The measurements are communicated via </t>
    </r>
    <r>
      <rPr>
        <b/>
        <sz val="11"/>
        <color theme="1"/>
        <rFont val="Aptos Narrow"/>
        <family val="2"/>
        <scheme val="minor"/>
      </rPr>
      <t>[List (TCP/IP, serial, wireless) - component]</t>
    </r>
    <r>
      <rPr>
        <sz val="11"/>
        <color theme="1"/>
        <rFont val="Aptos Narrow"/>
        <family val="2"/>
        <scheme val="minor"/>
      </rPr>
      <t xml:space="preserve"> **These are often communicated over the network provided by the BESS Network Switch(s)**</t>
    </r>
  </si>
  <si>
    <r>
      <t>The primary function is to measure the overall power flows at the Point of Common Coupling (PCC), which is the interface between BESS (and any local loads) and the external power grid. The following parameters are communicated to other components:</t>
    </r>
    <r>
      <rPr>
        <b/>
        <sz val="11"/>
        <color theme="1"/>
        <rFont val="Aptos Narrow"/>
        <family val="2"/>
        <scheme val="minor"/>
      </rPr>
      <t xml:space="preserve"> [List (component - parameters, ...)]</t>
    </r>
    <r>
      <rPr>
        <sz val="11"/>
        <color theme="1"/>
        <rFont val="Aptos Narrow"/>
        <family val="2"/>
        <scheme val="minor"/>
      </rPr>
      <t xml:space="preserve">. Examples of parameters include: voltage, current, real power, reactive power, energy, power factor, frequency, harmonics, peak values, charge/discharge cycles. The meter provides about </t>
    </r>
    <r>
      <rPr>
        <b/>
        <sz val="11"/>
        <color theme="1"/>
        <rFont val="Aptos Narrow"/>
        <family val="2"/>
        <scheme val="minor"/>
      </rPr>
      <t>[Accuracy]</t>
    </r>
    <r>
      <rPr>
        <sz val="11"/>
        <color theme="1"/>
        <rFont val="Aptos Narrow"/>
        <family val="2"/>
        <scheme val="minor"/>
      </rPr>
      <t>% accuracy in its measurements. The measurement range for voltage is</t>
    </r>
    <r>
      <rPr>
        <b/>
        <sz val="11"/>
        <color theme="1"/>
        <rFont val="Aptos Narrow"/>
        <family val="2"/>
        <scheme val="minor"/>
      </rPr>
      <t xml:space="preserve"> [VoltMin]</t>
    </r>
    <r>
      <rPr>
        <sz val="11"/>
        <color theme="1"/>
        <rFont val="Aptos Narrow"/>
        <family val="2"/>
        <scheme val="minor"/>
      </rPr>
      <t xml:space="preserve"> to </t>
    </r>
    <r>
      <rPr>
        <b/>
        <sz val="11"/>
        <color theme="1"/>
        <rFont val="Aptos Narrow"/>
        <family val="2"/>
        <scheme val="minor"/>
      </rPr>
      <t>[VoltMax]</t>
    </r>
    <r>
      <rPr>
        <sz val="11"/>
        <color theme="1"/>
        <rFont val="Aptos Narrow"/>
        <family val="2"/>
        <scheme val="minor"/>
      </rPr>
      <t xml:space="preserve">, and the range for current is </t>
    </r>
    <r>
      <rPr>
        <b/>
        <sz val="11"/>
        <color theme="1"/>
        <rFont val="Aptos Narrow"/>
        <family val="2"/>
        <scheme val="minor"/>
      </rPr>
      <t>[CurrMin]</t>
    </r>
    <r>
      <rPr>
        <sz val="11"/>
        <color theme="1"/>
        <rFont val="Aptos Narrow"/>
        <family val="2"/>
        <scheme val="minor"/>
      </rPr>
      <t xml:space="preserve"> to </t>
    </r>
    <r>
      <rPr>
        <b/>
        <sz val="11"/>
        <color theme="1"/>
        <rFont val="Aptos Narrow"/>
        <family val="2"/>
        <scheme val="minor"/>
      </rPr>
      <t>[CurrMax]</t>
    </r>
    <r>
      <rPr>
        <sz val="11"/>
        <color theme="1"/>
        <rFont val="Aptos Narrow"/>
        <family val="2"/>
        <scheme val="minor"/>
      </rPr>
      <t xml:space="preserve">. The voltage resolution is </t>
    </r>
    <r>
      <rPr>
        <b/>
        <sz val="11"/>
        <color theme="1"/>
        <rFont val="Aptos Narrow"/>
        <family val="2"/>
        <scheme val="minor"/>
      </rPr>
      <t>[Vres]</t>
    </r>
    <r>
      <rPr>
        <sz val="11"/>
        <color theme="1"/>
        <rFont val="Aptos Narrow"/>
        <family val="2"/>
        <scheme val="minor"/>
      </rPr>
      <t xml:space="preserve">, current resolution is </t>
    </r>
    <r>
      <rPr>
        <b/>
        <sz val="11"/>
        <color theme="1"/>
        <rFont val="Aptos Narrow"/>
        <family val="2"/>
        <scheme val="minor"/>
      </rPr>
      <t>[Ares]</t>
    </r>
    <r>
      <rPr>
        <sz val="11"/>
        <color theme="1"/>
        <rFont val="Aptos Narrow"/>
        <family val="2"/>
        <scheme val="minor"/>
      </rPr>
      <t xml:space="preserve">, frequency resolution is </t>
    </r>
    <r>
      <rPr>
        <b/>
        <sz val="11"/>
        <color theme="1"/>
        <rFont val="Aptos Narrow"/>
        <family val="2"/>
        <scheme val="minor"/>
      </rPr>
      <t>[Fres]</t>
    </r>
    <r>
      <rPr>
        <sz val="11"/>
        <color theme="1"/>
        <rFont val="Aptos Narrow"/>
        <family val="2"/>
        <scheme val="minor"/>
      </rPr>
      <t xml:space="preserve">. This Battery Meter provides monitor in </t>
    </r>
    <r>
      <rPr>
        <b/>
        <sz val="11"/>
        <color theme="1"/>
        <rFont val="Aptos Narrow"/>
        <family val="2"/>
        <scheme val="minor"/>
      </rPr>
      <t>[both|in-bound|out-bound]</t>
    </r>
    <r>
      <rPr>
        <sz val="11"/>
        <color theme="1"/>
        <rFont val="Aptos Narrow"/>
        <family val="2"/>
        <scheme val="minor"/>
      </rPr>
      <t xml:space="preserve"> power flows. Local data logging can be maintained for</t>
    </r>
    <r>
      <rPr>
        <b/>
        <sz val="11"/>
        <color theme="1"/>
        <rFont val="Aptos Narrow"/>
        <family val="2"/>
        <scheme val="minor"/>
      </rPr>
      <t xml:space="preserve"> [X seconds|minutes|hours|days]</t>
    </r>
    <r>
      <rPr>
        <sz val="11"/>
        <color theme="1"/>
        <rFont val="Aptos Narrow"/>
        <family val="2"/>
        <scheme val="minor"/>
      </rPr>
      <t xml:space="preserve">. A local display </t>
    </r>
    <r>
      <rPr>
        <b/>
        <sz val="11"/>
        <color theme="1"/>
        <rFont val="Aptos Narrow"/>
        <family val="2"/>
        <scheme val="minor"/>
      </rPr>
      <t>[is|is not]</t>
    </r>
    <r>
      <rPr>
        <sz val="11"/>
        <color theme="1"/>
        <rFont val="Aptos Narrow"/>
        <family val="2"/>
        <scheme val="minor"/>
      </rPr>
      <t xml:space="preserve"> available for on-site monitoring and configuration. The measurements are communicated via </t>
    </r>
    <r>
      <rPr>
        <b/>
        <sz val="11"/>
        <color theme="1"/>
        <rFont val="Aptos Narrow"/>
        <family val="2"/>
        <scheme val="minor"/>
      </rPr>
      <t>[List (TCP/IP, serial, wireless) - component]</t>
    </r>
    <r>
      <rPr>
        <sz val="11"/>
        <color theme="1"/>
        <rFont val="Aptos Narrow"/>
        <family val="2"/>
        <scheme val="minor"/>
      </rPr>
      <t xml:space="preserve"> **These are often communicated over the network provided by the Site Network Switch(s)** </t>
    </r>
  </si>
  <si>
    <r>
      <t xml:space="preserve">The primary function is to execute the control algorithms that govern the frequency regulation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t>
    </r>
    <r>
      <rPr>
        <b/>
        <sz val="11"/>
        <color theme="1"/>
        <rFont val="Aptos Narrow"/>
        <family val="2"/>
        <scheme val="minor"/>
      </rPr>
      <t>[Energy Market Pricing|Demand Forecasts|BESS Vendor Support|Third-Party Operators]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The controller uses the following protocols to communicate monitoring and control information:</t>
    </r>
    <r>
      <rPr>
        <b/>
        <sz val="11"/>
        <color theme="1"/>
        <rFont val="Aptos Narrow"/>
        <family val="2"/>
        <scheme val="minor"/>
      </rPr>
      <t xml:space="preserve"> [REST, DNP3, ModBus, IEC 61850, ...]</t>
    </r>
    <r>
      <rPr>
        <sz val="11"/>
        <color theme="1"/>
        <rFont val="Aptos Narrow"/>
        <family val="2"/>
        <scheme val="minor"/>
      </rPr>
      <t xml:space="preserve">. The following parameters are used in this controller for this mode of operation: </t>
    </r>
    <r>
      <rPr>
        <b/>
        <sz val="11"/>
        <color theme="1"/>
        <rFont val="Aptos Narrow"/>
        <family val="2"/>
        <scheme val="minor"/>
      </rPr>
      <t>[List parameters]</t>
    </r>
    <r>
      <rPr>
        <sz val="11"/>
        <color theme="1"/>
        <rFont val="Aptos Narrow"/>
        <family val="2"/>
        <scheme val="minor"/>
      </rPr>
      <t>.</t>
    </r>
  </si>
  <si>
    <r>
      <t xml:space="preserve">The primary function is to execute the control algorithms that govern the voltage support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t>
    </r>
    <r>
      <rPr>
        <b/>
        <sz val="11"/>
        <color theme="1"/>
        <rFont val="Aptos Narrow"/>
        <family val="2"/>
        <scheme val="minor"/>
      </rPr>
      <t>[Energy Market Pricing|Demand Forecasts|BESS Vendor Support|Third-Party Operators]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The controller uses the following protocols to communicate monitoring and control information:</t>
    </r>
    <r>
      <rPr>
        <b/>
        <sz val="11"/>
        <color theme="1"/>
        <rFont val="Aptos Narrow"/>
        <family val="2"/>
        <scheme val="minor"/>
      </rPr>
      <t xml:space="preserve"> [REST, DNP3, ModBus, IEC 61850, ...]</t>
    </r>
    <r>
      <rPr>
        <sz val="11"/>
        <color theme="1"/>
        <rFont val="Aptos Narrow"/>
        <family val="2"/>
        <scheme val="minor"/>
      </rPr>
      <t xml:space="preserve">. The following parameters are used in this controller for this mode of operation: </t>
    </r>
    <r>
      <rPr>
        <b/>
        <sz val="11"/>
        <color theme="1"/>
        <rFont val="Aptos Narrow"/>
        <family val="2"/>
        <scheme val="minor"/>
      </rPr>
      <t>[List parameters]</t>
    </r>
    <r>
      <rPr>
        <sz val="11"/>
        <color theme="1"/>
        <rFont val="Aptos Narrow"/>
        <family val="2"/>
        <scheme val="minor"/>
      </rPr>
      <t>.</t>
    </r>
  </si>
  <si>
    <r>
      <t xml:space="preserve">The primary function is to execute the control algorithms that govern the ramping/spinning reserve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t>
    </r>
    <r>
      <rPr>
        <b/>
        <sz val="11"/>
        <color theme="1"/>
        <rFont val="Aptos Narrow"/>
        <family val="2"/>
        <scheme val="minor"/>
      </rPr>
      <t>[Energy Market Pricing|Demand Forecasts|BESS Vendor Support|Third-Party Operators]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The controller uses the following protocols to communicate monitoring and control information:</t>
    </r>
    <r>
      <rPr>
        <b/>
        <sz val="11"/>
        <color theme="1"/>
        <rFont val="Aptos Narrow"/>
        <family val="2"/>
        <scheme val="minor"/>
      </rPr>
      <t xml:space="preserve"> [REST, DNP3, ModBus, IEC 61850, ...]</t>
    </r>
    <r>
      <rPr>
        <sz val="11"/>
        <color theme="1"/>
        <rFont val="Aptos Narrow"/>
        <family val="2"/>
        <scheme val="minor"/>
      </rPr>
      <t xml:space="preserve">. The following parameters are used in this controller for this mode of operation: </t>
    </r>
    <r>
      <rPr>
        <b/>
        <sz val="11"/>
        <color theme="1"/>
        <rFont val="Aptos Narrow"/>
        <family val="2"/>
        <scheme val="minor"/>
      </rPr>
      <t>[List parameters]</t>
    </r>
    <r>
      <rPr>
        <sz val="11"/>
        <color theme="1"/>
        <rFont val="Aptos Narrow"/>
        <family val="2"/>
        <scheme val="minor"/>
      </rPr>
      <t>.</t>
    </r>
  </si>
  <si>
    <r>
      <t xml:space="preserve">The primary function is to execute the control algorithms that govern the load following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t>
    </r>
    <r>
      <rPr>
        <b/>
        <sz val="11"/>
        <color theme="1"/>
        <rFont val="Aptos Narrow"/>
        <family val="2"/>
        <scheme val="minor"/>
      </rPr>
      <t>[Energy Market Pricing|Demand Forecasts|BESS Vendor Support|Third-Party Operators]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The controller uses the following protocols to communicate monitoring and control information:</t>
    </r>
    <r>
      <rPr>
        <b/>
        <sz val="11"/>
        <color theme="1"/>
        <rFont val="Aptos Narrow"/>
        <family val="2"/>
        <scheme val="minor"/>
      </rPr>
      <t xml:space="preserve"> [REST, DNP3, ModBus, IEC 61850, ...]</t>
    </r>
    <r>
      <rPr>
        <sz val="11"/>
        <color theme="1"/>
        <rFont val="Aptos Narrow"/>
        <family val="2"/>
        <scheme val="minor"/>
      </rPr>
      <t xml:space="preserve">. The following parameters are used in this controller for this mode of operation: </t>
    </r>
    <r>
      <rPr>
        <b/>
        <sz val="11"/>
        <color theme="1"/>
        <rFont val="Aptos Narrow"/>
        <family val="2"/>
        <scheme val="minor"/>
      </rPr>
      <t>[List parameters]</t>
    </r>
    <r>
      <rPr>
        <sz val="11"/>
        <color theme="1"/>
        <rFont val="Aptos Narrow"/>
        <family val="2"/>
        <scheme val="minor"/>
      </rPr>
      <t>.</t>
    </r>
  </si>
  <si>
    <r>
      <t xml:space="preserve">The primary function is to execute the control algorithms that govern the peak shaving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t>
    </r>
    <r>
      <rPr>
        <b/>
        <sz val="11"/>
        <color theme="1"/>
        <rFont val="Aptos Narrow"/>
        <family val="2"/>
        <scheme val="minor"/>
      </rPr>
      <t>[Energy Market Pricing|Demand Forecasts|BESS Vendor Support|Third-Party Operators]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The controller uses the following protocols to communicate monitoring and control information:</t>
    </r>
    <r>
      <rPr>
        <b/>
        <sz val="11"/>
        <color theme="1"/>
        <rFont val="Aptos Narrow"/>
        <family val="2"/>
        <scheme val="minor"/>
      </rPr>
      <t xml:space="preserve"> [REST, DNP3, ModBus, IEC 61850, ...]</t>
    </r>
    <r>
      <rPr>
        <sz val="11"/>
        <color theme="1"/>
        <rFont val="Aptos Narrow"/>
        <family val="2"/>
        <scheme val="minor"/>
      </rPr>
      <t xml:space="preserve">. The following parameters are used in this controller for this mode of operation: </t>
    </r>
    <r>
      <rPr>
        <b/>
        <sz val="11"/>
        <color theme="1"/>
        <rFont val="Aptos Narrow"/>
        <family val="2"/>
        <scheme val="minor"/>
      </rPr>
      <t>[List parameters]</t>
    </r>
    <r>
      <rPr>
        <sz val="11"/>
        <color theme="1"/>
        <rFont val="Aptos Narrow"/>
        <family val="2"/>
        <scheme val="minor"/>
      </rPr>
      <t>.</t>
    </r>
  </si>
  <si>
    <r>
      <t xml:space="preserve">The primary function is to execute the control algorithms that govern the backup power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t>
    </r>
    <r>
      <rPr>
        <b/>
        <sz val="11"/>
        <color theme="1"/>
        <rFont val="Aptos Narrow"/>
        <family val="2"/>
        <scheme val="minor"/>
      </rPr>
      <t>[Energy Market Pricing|Demand Forecasts|BESS Vendor Support|Third-Party Operators]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The controller uses the following protocols to communicate monitoring and control information:</t>
    </r>
    <r>
      <rPr>
        <b/>
        <sz val="11"/>
        <color theme="1"/>
        <rFont val="Aptos Narrow"/>
        <family val="2"/>
        <scheme val="minor"/>
      </rPr>
      <t xml:space="preserve"> [REST, DNP3, ModBus, IEC 61850, ...]</t>
    </r>
    <r>
      <rPr>
        <sz val="11"/>
        <color theme="1"/>
        <rFont val="Aptos Narrow"/>
        <family val="2"/>
        <scheme val="minor"/>
      </rPr>
      <t xml:space="preserve">. The following parameters are used in this controller for this mode of operation: </t>
    </r>
    <r>
      <rPr>
        <b/>
        <sz val="11"/>
        <color theme="1"/>
        <rFont val="Aptos Narrow"/>
        <family val="2"/>
        <scheme val="minor"/>
      </rPr>
      <t>[List parameters]</t>
    </r>
    <r>
      <rPr>
        <sz val="11"/>
        <color theme="1"/>
        <rFont val="Aptos Narrow"/>
        <family val="2"/>
        <scheme val="minor"/>
      </rPr>
      <t>.</t>
    </r>
  </si>
  <si>
    <r>
      <t xml:space="preserve">The primary function is to execute the control algorithms that govern the black start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t>
    </r>
    <r>
      <rPr>
        <b/>
        <sz val="11"/>
        <color theme="1"/>
        <rFont val="Aptos Narrow"/>
        <family val="2"/>
        <scheme val="minor"/>
      </rPr>
      <t>[Energy Market Pricing|Demand Forecasts|BESS Vendor Support|Third-Party Operators]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The controller uses the following protocols to communicate monitoring and control information:</t>
    </r>
    <r>
      <rPr>
        <b/>
        <sz val="11"/>
        <color theme="1"/>
        <rFont val="Aptos Narrow"/>
        <family val="2"/>
        <scheme val="minor"/>
      </rPr>
      <t xml:space="preserve"> [REST, DNP3, ModBus, IEC 61850, ...]</t>
    </r>
    <r>
      <rPr>
        <sz val="11"/>
        <color theme="1"/>
        <rFont val="Aptos Narrow"/>
        <family val="2"/>
        <scheme val="minor"/>
      </rPr>
      <t xml:space="preserve">. The following parameters are used in this controller for this mode of operation: </t>
    </r>
    <r>
      <rPr>
        <b/>
        <sz val="11"/>
        <color theme="1"/>
        <rFont val="Aptos Narrow"/>
        <family val="2"/>
        <scheme val="minor"/>
      </rPr>
      <t>[List parameters]</t>
    </r>
    <r>
      <rPr>
        <sz val="11"/>
        <color theme="1"/>
        <rFont val="Aptos Narrow"/>
        <family val="2"/>
        <scheme val="minor"/>
      </rPr>
      <t>.</t>
    </r>
  </si>
  <si>
    <r>
      <t xml:space="preserve">The primary function is to execute the control algorithms that govern the island grid forming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t>
    </r>
    <r>
      <rPr>
        <b/>
        <sz val="11"/>
        <color theme="1"/>
        <rFont val="Aptos Narrow"/>
        <family val="2"/>
        <scheme val="minor"/>
      </rPr>
      <t>[Energy Market Pricing|Demand Forecasts|BESS Vendor Support|Third-Party Operators]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The controller uses the following protocols to communicate monitoring and control information:</t>
    </r>
    <r>
      <rPr>
        <b/>
        <sz val="11"/>
        <color theme="1"/>
        <rFont val="Aptos Narrow"/>
        <family val="2"/>
        <scheme val="minor"/>
      </rPr>
      <t xml:space="preserve"> [REST, DNP3, ModBus, IEC 61850, ...]</t>
    </r>
    <r>
      <rPr>
        <sz val="11"/>
        <color theme="1"/>
        <rFont val="Aptos Narrow"/>
        <family val="2"/>
        <scheme val="minor"/>
      </rPr>
      <t xml:space="preserve">. The following parameters are used in this controller for this mode of operation: </t>
    </r>
    <r>
      <rPr>
        <b/>
        <sz val="11"/>
        <color theme="1"/>
        <rFont val="Aptos Narrow"/>
        <family val="2"/>
        <scheme val="minor"/>
      </rPr>
      <t>[List parameters]</t>
    </r>
    <r>
      <rPr>
        <sz val="11"/>
        <color theme="1"/>
        <rFont val="Aptos Narrow"/>
        <family val="2"/>
        <scheme val="minor"/>
      </rPr>
      <t>.</t>
    </r>
  </si>
  <si>
    <r>
      <t xml:space="preserve">The primary function is to execute the frequency regulation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t>
    </r>
    <r>
      <rPr>
        <b/>
        <sz val="11"/>
        <color theme="1"/>
        <rFont val="Aptos Narrow"/>
        <family val="2"/>
        <scheme val="minor"/>
      </rPr>
      <t>[Energy Market Pricing|Demand Forecasts|Vendor Support|Third-Party Operators|Other Energy Sources]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xml:space="preserve">. The controller uses the following protocols to communicate monitoring and control information: </t>
    </r>
    <r>
      <rPr>
        <b/>
        <sz val="11"/>
        <color theme="1"/>
        <rFont val="Aptos Narrow"/>
        <family val="2"/>
        <scheme val="minor"/>
      </rPr>
      <t>[REST, DNP3, ModBus, IEC 61850, ...]</t>
    </r>
    <r>
      <rPr>
        <sz val="11"/>
        <color theme="1"/>
        <rFont val="Aptos Narrow"/>
        <family val="2"/>
        <scheme val="minor"/>
      </rPr>
      <t>. The following parameters are used in this controller for this mode of operation:</t>
    </r>
    <r>
      <rPr>
        <b/>
        <sz val="11"/>
        <color theme="1"/>
        <rFont val="Aptos Narrow"/>
        <family val="2"/>
        <scheme val="minor"/>
      </rPr>
      <t xml:space="preserve"> [List parameters]</t>
    </r>
    <r>
      <rPr>
        <sz val="11"/>
        <color theme="1"/>
        <rFont val="Aptos Narrow"/>
        <family val="2"/>
        <scheme val="minor"/>
      </rPr>
      <t>.</t>
    </r>
  </si>
  <si>
    <r>
      <t xml:space="preserve">The primary function is to execute the voltage support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t>
    </r>
    <r>
      <rPr>
        <b/>
        <sz val="11"/>
        <color theme="1"/>
        <rFont val="Aptos Narrow"/>
        <family val="2"/>
        <scheme val="minor"/>
      </rPr>
      <t>[Energy Market Pricing|Demand Forecasts|Vendor Support|Third-Party Operators|Other Energy Sources]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xml:space="preserve">. The controller uses the following protocols to communicate monitoring and control information: </t>
    </r>
    <r>
      <rPr>
        <b/>
        <sz val="11"/>
        <color theme="1"/>
        <rFont val="Aptos Narrow"/>
        <family val="2"/>
        <scheme val="minor"/>
      </rPr>
      <t>[REST, DNP3, ModBus, IEC 61850, ...]</t>
    </r>
    <r>
      <rPr>
        <sz val="11"/>
        <color theme="1"/>
        <rFont val="Aptos Narrow"/>
        <family val="2"/>
        <scheme val="minor"/>
      </rPr>
      <t>. The following parameters are used in this controller for this mode of operation:</t>
    </r>
    <r>
      <rPr>
        <b/>
        <sz val="11"/>
        <color theme="1"/>
        <rFont val="Aptos Narrow"/>
        <family val="2"/>
        <scheme val="minor"/>
      </rPr>
      <t xml:space="preserve"> [List parameters]</t>
    </r>
    <r>
      <rPr>
        <sz val="11"/>
        <color theme="1"/>
        <rFont val="Aptos Narrow"/>
        <family val="2"/>
        <scheme val="minor"/>
      </rPr>
      <t>.</t>
    </r>
  </si>
  <si>
    <r>
      <t xml:space="preserve">The primary function is to execute the ramping/spinning reserve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t>
    </r>
    <r>
      <rPr>
        <b/>
        <sz val="11"/>
        <color theme="1"/>
        <rFont val="Aptos Narrow"/>
        <family val="2"/>
        <scheme val="minor"/>
      </rPr>
      <t>[Energy Market Pricing|Demand Forecasts|Vendor Support|Third-Party Operators|Other Energy Sources]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xml:space="preserve">. The controller uses the following protocols to communicate monitoring and control information: </t>
    </r>
    <r>
      <rPr>
        <b/>
        <sz val="11"/>
        <color theme="1"/>
        <rFont val="Aptos Narrow"/>
        <family val="2"/>
        <scheme val="minor"/>
      </rPr>
      <t>[REST, DNP3, ModBus, IEC 61850, ...]</t>
    </r>
    <r>
      <rPr>
        <sz val="11"/>
        <color theme="1"/>
        <rFont val="Aptos Narrow"/>
        <family val="2"/>
        <scheme val="minor"/>
      </rPr>
      <t>. The following parameters are used in this controller for this mode of operation:</t>
    </r>
    <r>
      <rPr>
        <b/>
        <sz val="11"/>
        <color theme="1"/>
        <rFont val="Aptos Narrow"/>
        <family val="2"/>
        <scheme val="minor"/>
      </rPr>
      <t xml:space="preserve"> [List parameters]</t>
    </r>
    <r>
      <rPr>
        <sz val="11"/>
        <color theme="1"/>
        <rFont val="Aptos Narrow"/>
        <family val="2"/>
        <scheme val="minor"/>
      </rPr>
      <t>.</t>
    </r>
  </si>
  <si>
    <r>
      <t xml:space="preserve">The primary function is to execute the load following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t>
    </r>
    <r>
      <rPr>
        <b/>
        <sz val="11"/>
        <color theme="1"/>
        <rFont val="Aptos Narrow"/>
        <family val="2"/>
        <scheme val="minor"/>
      </rPr>
      <t>[Energy Market Pricing|Demand Forecasts|Vendor Support|Third-Party Operators|Other Energy Sources]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xml:space="preserve">. The controller uses the following protocols to communicate monitoring and control information: </t>
    </r>
    <r>
      <rPr>
        <b/>
        <sz val="11"/>
        <color theme="1"/>
        <rFont val="Aptos Narrow"/>
        <family val="2"/>
        <scheme val="minor"/>
      </rPr>
      <t>[REST, DNP3, ModBus, IEC 61850, ...]</t>
    </r>
    <r>
      <rPr>
        <sz val="11"/>
        <color theme="1"/>
        <rFont val="Aptos Narrow"/>
        <family val="2"/>
        <scheme val="minor"/>
      </rPr>
      <t>. The following parameters are used in this controller for this mode of operation:</t>
    </r>
    <r>
      <rPr>
        <b/>
        <sz val="11"/>
        <color theme="1"/>
        <rFont val="Aptos Narrow"/>
        <family val="2"/>
        <scheme val="minor"/>
      </rPr>
      <t xml:space="preserve"> [List parameters]</t>
    </r>
    <r>
      <rPr>
        <sz val="11"/>
        <color theme="1"/>
        <rFont val="Aptos Narrow"/>
        <family val="2"/>
        <scheme val="minor"/>
      </rPr>
      <t>.</t>
    </r>
  </si>
  <si>
    <r>
      <t xml:space="preserve">The primary function is to execute the peak shaving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t>
    </r>
    <r>
      <rPr>
        <b/>
        <sz val="11"/>
        <color theme="1"/>
        <rFont val="Aptos Narrow"/>
        <family val="2"/>
        <scheme val="minor"/>
      </rPr>
      <t>[Energy Market Pricing|Demand Forecasts|Vendor Support|Third-Party Operators|Other Energy Sources]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xml:space="preserve">. The controller uses the following protocols to communicate monitoring and control information: </t>
    </r>
    <r>
      <rPr>
        <b/>
        <sz val="11"/>
        <color theme="1"/>
        <rFont val="Aptos Narrow"/>
        <family val="2"/>
        <scheme val="minor"/>
      </rPr>
      <t>[REST, DNP3, ModBus, IEC 61850, ...]</t>
    </r>
    <r>
      <rPr>
        <sz val="11"/>
        <color theme="1"/>
        <rFont val="Aptos Narrow"/>
        <family val="2"/>
        <scheme val="minor"/>
      </rPr>
      <t>. The following parameters are used in this controller for this mode of operation:</t>
    </r>
    <r>
      <rPr>
        <b/>
        <sz val="11"/>
        <color theme="1"/>
        <rFont val="Aptos Narrow"/>
        <family val="2"/>
        <scheme val="minor"/>
      </rPr>
      <t xml:space="preserve"> [List parameters]</t>
    </r>
    <r>
      <rPr>
        <sz val="11"/>
        <color theme="1"/>
        <rFont val="Aptos Narrow"/>
        <family val="2"/>
        <scheme val="minor"/>
      </rPr>
      <t>.</t>
    </r>
  </si>
  <si>
    <r>
      <t xml:space="preserve">The primary function is to execute the backup power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t>
    </r>
    <r>
      <rPr>
        <b/>
        <sz val="11"/>
        <color theme="1"/>
        <rFont val="Aptos Narrow"/>
        <family val="2"/>
        <scheme val="minor"/>
      </rPr>
      <t>[Energy Market Pricing|Demand Forecasts|Vendor Support|Third-Party Operators|Other Energy Sources]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xml:space="preserve">. The controller uses the following protocols to communicate monitoring and control information: </t>
    </r>
    <r>
      <rPr>
        <b/>
        <sz val="11"/>
        <color theme="1"/>
        <rFont val="Aptos Narrow"/>
        <family val="2"/>
        <scheme val="minor"/>
      </rPr>
      <t>[REST, DNP3, ModBus, IEC 61850, ...]</t>
    </r>
    <r>
      <rPr>
        <sz val="11"/>
        <color theme="1"/>
        <rFont val="Aptos Narrow"/>
        <family val="2"/>
        <scheme val="minor"/>
      </rPr>
      <t>. The following parameters are used in this controller for this mode of operation:</t>
    </r>
    <r>
      <rPr>
        <b/>
        <sz val="11"/>
        <color theme="1"/>
        <rFont val="Aptos Narrow"/>
        <family val="2"/>
        <scheme val="minor"/>
      </rPr>
      <t xml:space="preserve"> [List parameters]</t>
    </r>
    <r>
      <rPr>
        <sz val="11"/>
        <color theme="1"/>
        <rFont val="Aptos Narrow"/>
        <family val="2"/>
        <scheme val="minor"/>
      </rPr>
      <t>.</t>
    </r>
  </si>
  <si>
    <r>
      <t xml:space="preserve">The primary function is to execute the black start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t>
    </r>
    <r>
      <rPr>
        <b/>
        <sz val="11"/>
        <color theme="1"/>
        <rFont val="Aptos Narrow"/>
        <family val="2"/>
        <scheme val="minor"/>
      </rPr>
      <t>[Energy Market Pricing|Demand Forecasts|Vendor Support|Third-Party Operators|Other Energy Sources]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xml:space="preserve">. The controller uses the following protocols to communicate monitoring and control information: </t>
    </r>
    <r>
      <rPr>
        <b/>
        <sz val="11"/>
        <color theme="1"/>
        <rFont val="Aptos Narrow"/>
        <family val="2"/>
        <scheme val="minor"/>
      </rPr>
      <t>[REST, DNP3, ModBus, IEC 61850, ...]</t>
    </r>
    <r>
      <rPr>
        <sz val="11"/>
        <color theme="1"/>
        <rFont val="Aptos Narrow"/>
        <family val="2"/>
        <scheme val="minor"/>
      </rPr>
      <t>. The following parameters are used in this controller for this mode of operation:</t>
    </r>
    <r>
      <rPr>
        <b/>
        <sz val="11"/>
        <color theme="1"/>
        <rFont val="Aptos Narrow"/>
        <family val="2"/>
        <scheme val="minor"/>
      </rPr>
      <t xml:space="preserve"> [List parameters]</t>
    </r>
    <r>
      <rPr>
        <sz val="11"/>
        <color theme="1"/>
        <rFont val="Aptos Narrow"/>
        <family val="2"/>
        <scheme val="minor"/>
      </rPr>
      <t>.</t>
    </r>
  </si>
  <si>
    <r>
      <t xml:space="preserve">The primary function is to execute the island grid forming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t>
    </r>
    <r>
      <rPr>
        <b/>
        <sz val="11"/>
        <color theme="1"/>
        <rFont val="Aptos Narrow"/>
        <family val="2"/>
        <scheme val="minor"/>
      </rPr>
      <t>[Energy Market Pricing|Demand Forecasts|Vendor Support|Third-Party Operators|Other Energy Sources]</t>
    </r>
    <r>
      <rPr>
        <sz val="11"/>
        <color theme="1"/>
        <rFont val="Aptos Narrow"/>
        <family val="2"/>
        <scheme val="minor"/>
      </rPr>
      <t xml:space="preserve">. The BESS controller </t>
    </r>
    <r>
      <rPr>
        <b/>
        <sz val="11"/>
        <color theme="1"/>
        <rFont val="Aptos Narrow"/>
        <family val="2"/>
        <scheme val="minor"/>
      </rPr>
      <t>[is|is not]</t>
    </r>
    <r>
      <rPr>
        <sz val="11"/>
        <color theme="1"/>
        <rFont val="Aptos Narrow"/>
        <family val="2"/>
        <scheme val="minor"/>
      </rPr>
      <t xml:space="preserve"> able to be reconfigured </t>
    </r>
    <r>
      <rPr>
        <b/>
        <sz val="11"/>
        <color theme="1"/>
        <rFont val="Aptos Narrow"/>
        <family val="2"/>
        <scheme val="minor"/>
      </rPr>
      <t>[remotely|locally-only]</t>
    </r>
    <r>
      <rPr>
        <sz val="11"/>
        <color theme="1"/>
        <rFont val="Aptos Narrow"/>
        <family val="2"/>
        <scheme val="minor"/>
      </rPr>
      <t xml:space="preserve">. The controller uses the following protocols to communicate monitoring and control information: </t>
    </r>
    <r>
      <rPr>
        <b/>
        <sz val="11"/>
        <color theme="1"/>
        <rFont val="Aptos Narrow"/>
        <family val="2"/>
        <scheme val="minor"/>
      </rPr>
      <t>[REST, DNP3, ModBus, IEC 61850, ...]</t>
    </r>
    <r>
      <rPr>
        <sz val="11"/>
        <color theme="1"/>
        <rFont val="Aptos Narrow"/>
        <family val="2"/>
        <scheme val="minor"/>
      </rPr>
      <t>. The following parameters are used in this controller for this mode of operation:</t>
    </r>
    <r>
      <rPr>
        <b/>
        <sz val="11"/>
        <color theme="1"/>
        <rFont val="Aptos Narrow"/>
        <family val="2"/>
        <scheme val="minor"/>
      </rPr>
      <t xml:space="preserve"> [List parameters]</t>
    </r>
    <r>
      <rPr>
        <sz val="11"/>
        <color theme="1"/>
        <rFont val="Aptos Narrow"/>
        <family val="2"/>
        <scheme val="minor"/>
      </rPr>
      <t>.</t>
    </r>
  </si>
  <si>
    <r>
      <t xml:space="preserve">The primary function is to facilitate the transfer of data between the BESS Controller, the TMS, the PCS, the BMS, and any other integrated systems or sensors (such as the Battery Meter). The switch provides </t>
    </r>
    <r>
      <rPr>
        <b/>
        <sz val="11"/>
        <color theme="1"/>
        <rFont val="Aptos Narrow"/>
        <family val="2"/>
        <scheme val="minor"/>
      </rPr>
      <t>[Layer 2 switching|Layer 3 routing]</t>
    </r>
    <r>
      <rPr>
        <sz val="11"/>
        <color theme="1"/>
        <rFont val="Aptos Narrow"/>
        <family val="2"/>
        <scheme val="minor"/>
      </rPr>
      <t xml:space="preserve"> communications. The switch</t>
    </r>
    <r>
      <rPr>
        <b/>
        <sz val="11"/>
        <color theme="1"/>
        <rFont val="Aptos Narrow"/>
        <family val="2"/>
        <scheme val="minor"/>
      </rPr>
      <t xml:space="preserve"> [is|is not]</t>
    </r>
    <r>
      <rPr>
        <sz val="11"/>
        <color theme="1"/>
        <rFont val="Aptos Narrow"/>
        <family val="2"/>
        <scheme val="minor"/>
      </rPr>
      <t xml:space="preserve"> managed. The switch </t>
    </r>
    <r>
      <rPr>
        <b/>
        <sz val="11"/>
        <color theme="1"/>
        <rFont val="Aptos Narrow"/>
        <family val="2"/>
        <scheme val="minor"/>
      </rPr>
      <t>[uses|does not use]</t>
    </r>
    <r>
      <rPr>
        <sz val="11"/>
        <color theme="1"/>
        <rFont val="Aptos Narrow"/>
        <family val="2"/>
        <scheme val="minor"/>
      </rPr>
      <t xml:space="preserve"> network segmentation. The switch has </t>
    </r>
    <r>
      <rPr>
        <b/>
        <sz val="11"/>
        <color theme="1"/>
        <rFont val="Aptos Narrow"/>
        <family val="2"/>
        <scheme val="minor"/>
      </rPr>
      <t>[#]</t>
    </r>
    <r>
      <rPr>
        <sz val="11"/>
        <color theme="1"/>
        <rFont val="Aptos Narrow"/>
        <family val="2"/>
        <scheme val="minor"/>
      </rPr>
      <t xml:space="preserve"> power supplies to maintain network availability in the case of hardware failure. The switch uses </t>
    </r>
    <r>
      <rPr>
        <b/>
        <sz val="11"/>
        <color theme="1"/>
        <rFont val="Aptos Narrow"/>
        <family val="2"/>
        <scheme val="minor"/>
      </rPr>
      <t>[fans|convection]</t>
    </r>
    <r>
      <rPr>
        <sz val="11"/>
        <color theme="1"/>
        <rFont val="Aptos Narrow"/>
        <family val="2"/>
        <scheme val="minor"/>
      </rPr>
      <t xml:space="preserve"> for cooling. The switch</t>
    </r>
    <r>
      <rPr>
        <b/>
        <sz val="11"/>
        <color theme="1"/>
        <rFont val="Aptos Narrow"/>
        <family val="2"/>
        <scheme val="minor"/>
      </rPr>
      <t xml:space="preserve"> [uses| does not use]</t>
    </r>
    <r>
      <rPr>
        <sz val="11"/>
        <color theme="1"/>
        <rFont val="Aptos Narrow"/>
        <family val="2"/>
        <scheme val="minor"/>
      </rPr>
      <t xml:space="preserve"> power over ethernet for connections. The switch has </t>
    </r>
    <r>
      <rPr>
        <b/>
        <sz val="11"/>
        <color theme="1"/>
        <rFont val="Aptos Narrow"/>
        <family val="2"/>
        <scheme val="minor"/>
      </rPr>
      <t xml:space="preserve">[#] </t>
    </r>
    <r>
      <rPr>
        <sz val="11"/>
        <color theme="1"/>
        <rFont val="Aptos Narrow"/>
        <family val="2"/>
        <scheme val="minor"/>
      </rPr>
      <t xml:space="preserve">available ports after connecting in expected components. Multiple switches </t>
    </r>
    <r>
      <rPr>
        <b/>
        <sz val="11"/>
        <color theme="1"/>
        <rFont val="Aptos Narrow"/>
        <family val="2"/>
        <scheme val="minor"/>
      </rPr>
      <t>[exist|do not exist]</t>
    </r>
    <r>
      <rPr>
        <sz val="11"/>
        <color theme="1"/>
        <rFont val="Aptos Narrow"/>
        <family val="2"/>
        <scheme val="minor"/>
      </rPr>
      <t xml:space="preserve"> for failover capabilities. </t>
    </r>
  </si>
  <si>
    <r>
      <t xml:space="preserve">The primary function is to facilitate the transfer of data between the BESS Controller, the Site Controller, the Local HMI, Firewalls, Electrical Protection equipment, and any other integrated systems or sensors (such as the Site/Load Meter). The switch provides </t>
    </r>
    <r>
      <rPr>
        <b/>
        <sz val="11"/>
        <color theme="1"/>
        <rFont val="Aptos Narrow"/>
        <family val="2"/>
        <scheme val="minor"/>
      </rPr>
      <t>[Layer 2 switching|Layer 3 routing]</t>
    </r>
    <r>
      <rPr>
        <sz val="11"/>
        <color theme="1"/>
        <rFont val="Aptos Narrow"/>
        <family val="2"/>
        <scheme val="minor"/>
      </rPr>
      <t xml:space="preserve"> communications. The switch</t>
    </r>
    <r>
      <rPr>
        <b/>
        <sz val="11"/>
        <color theme="1"/>
        <rFont val="Aptos Narrow"/>
        <family val="2"/>
        <scheme val="minor"/>
      </rPr>
      <t xml:space="preserve"> [is|is not]</t>
    </r>
    <r>
      <rPr>
        <sz val="11"/>
        <color theme="1"/>
        <rFont val="Aptos Narrow"/>
        <family val="2"/>
        <scheme val="minor"/>
      </rPr>
      <t xml:space="preserve"> managed. The switch </t>
    </r>
    <r>
      <rPr>
        <b/>
        <sz val="11"/>
        <color theme="1"/>
        <rFont val="Aptos Narrow"/>
        <family val="2"/>
        <scheme val="minor"/>
      </rPr>
      <t>[uses|does not use]</t>
    </r>
    <r>
      <rPr>
        <sz val="11"/>
        <color theme="1"/>
        <rFont val="Aptos Narrow"/>
        <family val="2"/>
        <scheme val="minor"/>
      </rPr>
      <t xml:space="preserve"> network segmentation. The switch has </t>
    </r>
    <r>
      <rPr>
        <b/>
        <sz val="11"/>
        <color theme="1"/>
        <rFont val="Aptos Narrow"/>
        <family val="2"/>
        <scheme val="minor"/>
      </rPr>
      <t>[#]</t>
    </r>
    <r>
      <rPr>
        <sz val="11"/>
        <color theme="1"/>
        <rFont val="Aptos Narrow"/>
        <family val="2"/>
        <scheme val="minor"/>
      </rPr>
      <t xml:space="preserve"> power supplies to maintain network availability in the case of hardware failure. The switch uses </t>
    </r>
    <r>
      <rPr>
        <b/>
        <sz val="11"/>
        <color theme="1"/>
        <rFont val="Aptos Narrow"/>
        <family val="2"/>
        <scheme val="minor"/>
      </rPr>
      <t>[fans|convection]</t>
    </r>
    <r>
      <rPr>
        <sz val="11"/>
        <color theme="1"/>
        <rFont val="Aptos Narrow"/>
        <family val="2"/>
        <scheme val="minor"/>
      </rPr>
      <t xml:space="preserve"> for cooling. The switch</t>
    </r>
    <r>
      <rPr>
        <b/>
        <sz val="11"/>
        <color theme="1"/>
        <rFont val="Aptos Narrow"/>
        <family val="2"/>
        <scheme val="minor"/>
      </rPr>
      <t xml:space="preserve"> [uses| does not use]</t>
    </r>
    <r>
      <rPr>
        <sz val="11"/>
        <color theme="1"/>
        <rFont val="Aptos Narrow"/>
        <family val="2"/>
        <scheme val="minor"/>
      </rPr>
      <t xml:space="preserve"> power over ethernet for connections. The switch has </t>
    </r>
    <r>
      <rPr>
        <b/>
        <sz val="11"/>
        <color theme="1"/>
        <rFont val="Aptos Narrow"/>
        <family val="2"/>
        <scheme val="minor"/>
      </rPr>
      <t xml:space="preserve">[#] </t>
    </r>
    <r>
      <rPr>
        <sz val="11"/>
        <color theme="1"/>
        <rFont val="Aptos Narrow"/>
        <family val="2"/>
        <scheme val="minor"/>
      </rPr>
      <t xml:space="preserve">available ports after connecting in expected components. Multiple switches </t>
    </r>
    <r>
      <rPr>
        <b/>
        <sz val="11"/>
        <color theme="1"/>
        <rFont val="Aptos Narrow"/>
        <family val="2"/>
        <scheme val="minor"/>
      </rPr>
      <t>[exist|do not exist]</t>
    </r>
    <r>
      <rPr>
        <sz val="11"/>
        <color theme="1"/>
        <rFont val="Aptos Narrow"/>
        <family val="2"/>
        <scheme val="minor"/>
      </rPr>
      <t xml:space="preserve"> for failover capabilities. **Often only installed if the Security Firewall does not have enough port density**</t>
    </r>
  </si>
  <si>
    <r>
      <t xml:space="preserve">The primary function is to serve as the boundary between the site's internal network and the external network, which may be the public network (i.e., the internet) or a broader coporate network. The firewall provides the following security services: </t>
    </r>
    <r>
      <rPr>
        <b/>
        <sz val="11"/>
        <color theme="1"/>
        <rFont val="Aptos Narrow"/>
        <family val="2"/>
        <scheme val="minor"/>
      </rPr>
      <t>[List, for example, Stateful inspection, deep packet inspection, application awareness, etc.]</t>
    </r>
    <r>
      <rPr>
        <sz val="11"/>
        <color theme="1"/>
        <rFont val="Aptos Narrow"/>
        <family val="2"/>
        <scheme val="minor"/>
      </rPr>
      <t xml:space="preserve">. The firewall </t>
    </r>
    <r>
      <rPr>
        <b/>
        <sz val="11"/>
        <color theme="1"/>
        <rFont val="Aptos Narrow"/>
        <family val="2"/>
        <scheme val="minor"/>
      </rPr>
      <t>[does|does not]</t>
    </r>
    <r>
      <rPr>
        <sz val="11"/>
        <color theme="1"/>
        <rFont val="Aptos Narrow"/>
        <family val="2"/>
        <scheme val="minor"/>
      </rPr>
      <t xml:space="preserve"> provide Virtual Private Network (VPN) functions. The firewall provides the following filter TCP/IP stack levels: </t>
    </r>
    <r>
      <rPr>
        <b/>
        <sz val="11"/>
        <color theme="1"/>
        <rFont val="Aptos Narrow"/>
        <family val="2"/>
        <scheme val="minor"/>
      </rPr>
      <t>[Layer 2, Layer 3, Layer 4, Layer 5]</t>
    </r>
    <r>
      <rPr>
        <sz val="11"/>
        <color theme="1"/>
        <rFont val="Aptos Narrow"/>
        <family val="2"/>
        <scheme val="minor"/>
      </rPr>
      <t xml:space="preserve">. The firewall </t>
    </r>
    <r>
      <rPr>
        <b/>
        <sz val="11"/>
        <color theme="1"/>
        <rFont val="Aptos Narrow"/>
        <family val="2"/>
        <scheme val="minor"/>
      </rPr>
      <t>[is|is not]</t>
    </r>
    <r>
      <rPr>
        <sz val="11"/>
        <color theme="1"/>
        <rFont val="Aptos Narrow"/>
        <family val="2"/>
        <scheme val="minor"/>
      </rPr>
      <t xml:space="preserve"> managed by the organization that maintains the BESS installation. The firewall has </t>
    </r>
    <r>
      <rPr>
        <b/>
        <sz val="11"/>
        <color theme="1"/>
        <rFont val="Aptos Narrow"/>
        <family val="2"/>
        <scheme val="minor"/>
      </rPr>
      <t>[#]</t>
    </r>
    <r>
      <rPr>
        <sz val="11"/>
        <color theme="1"/>
        <rFont val="Aptos Narrow"/>
        <family val="2"/>
        <scheme val="minor"/>
      </rPr>
      <t xml:space="preserve"> power supplies to maintain network availability in the case of hardware failure. The firewall uses </t>
    </r>
    <r>
      <rPr>
        <b/>
        <sz val="11"/>
        <color theme="1"/>
        <rFont val="Aptos Narrow"/>
        <family val="2"/>
        <scheme val="minor"/>
      </rPr>
      <t>[fans|convection]</t>
    </r>
    <r>
      <rPr>
        <sz val="11"/>
        <color theme="1"/>
        <rFont val="Aptos Narrow"/>
        <family val="2"/>
        <scheme val="minor"/>
      </rPr>
      <t xml:space="preserve"> for cooling. The firewall </t>
    </r>
    <r>
      <rPr>
        <b/>
        <sz val="11"/>
        <color theme="1"/>
        <rFont val="Aptos Narrow"/>
        <family val="2"/>
        <scheme val="minor"/>
      </rPr>
      <t>[uses| does not use]</t>
    </r>
    <r>
      <rPr>
        <sz val="11"/>
        <color theme="1"/>
        <rFont val="Aptos Narrow"/>
        <family val="2"/>
        <scheme val="minor"/>
      </rPr>
      <t xml:space="preserve"> power over ethernet for connections. The firewall has</t>
    </r>
    <r>
      <rPr>
        <b/>
        <sz val="11"/>
        <color theme="1"/>
        <rFont val="Aptos Narrow"/>
        <family val="2"/>
        <scheme val="minor"/>
      </rPr>
      <t xml:space="preserve"> [#]</t>
    </r>
    <r>
      <rPr>
        <sz val="11"/>
        <color theme="1"/>
        <rFont val="Aptos Narrow"/>
        <family val="2"/>
        <scheme val="minor"/>
      </rPr>
      <t xml:space="preserve"> available ports after connecting in expected components. Multiple firewalls </t>
    </r>
    <r>
      <rPr>
        <b/>
        <sz val="11"/>
        <color theme="1"/>
        <rFont val="Aptos Narrow"/>
        <family val="2"/>
        <scheme val="minor"/>
      </rPr>
      <t xml:space="preserve">[exist|do not exist] </t>
    </r>
    <r>
      <rPr>
        <sz val="11"/>
        <color theme="1"/>
        <rFont val="Aptos Narrow"/>
        <family val="2"/>
        <scheme val="minor"/>
      </rPr>
      <t>for failover capabilities.</t>
    </r>
  </si>
  <si>
    <r>
      <t xml:space="preserve">The primary function is to serve as the gateway between the site's internal network and the external network, which may be the public network (i.e., the internet) or a broader coporate network. The router </t>
    </r>
    <r>
      <rPr>
        <b/>
        <sz val="11"/>
        <color theme="1"/>
        <rFont val="Aptos Narrow"/>
        <family val="2"/>
        <scheme val="minor"/>
      </rPr>
      <t>[uses|does not use]</t>
    </r>
    <r>
      <rPr>
        <sz val="11"/>
        <color theme="1"/>
        <rFont val="Aptos Narrow"/>
        <family val="2"/>
        <scheme val="minor"/>
      </rPr>
      <t xml:space="preserve"> Network Address Technology (NAT). The router </t>
    </r>
    <r>
      <rPr>
        <b/>
        <sz val="11"/>
        <color theme="1"/>
        <rFont val="Aptos Narrow"/>
        <family val="2"/>
        <scheme val="minor"/>
      </rPr>
      <t>[uses|does not use]</t>
    </r>
    <r>
      <rPr>
        <sz val="11"/>
        <color theme="1"/>
        <rFont val="Aptos Narrow"/>
        <family val="2"/>
        <scheme val="minor"/>
      </rPr>
      <t xml:space="preserve"> traffic management features (i.e. class policy, QoS policy). The router uses the following routing protocols: </t>
    </r>
    <r>
      <rPr>
        <b/>
        <sz val="11"/>
        <color theme="1"/>
        <rFont val="Aptos Narrow"/>
        <family val="2"/>
        <scheme val="minor"/>
      </rPr>
      <t>[RIPv3, EIGRP, BGP, Static, OSPF]</t>
    </r>
    <r>
      <rPr>
        <sz val="11"/>
        <color theme="1"/>
        <rFont val="Aptos Narrow"/>
        <family val="2"/>
        <scheme val="minor"/>
      </rPr>
      <t xml:space="preserve">. The router </t>
    </r>
    <r>
      <rPr>
        <b/>
        <sz val="11"/>
        <color theme="1"/>
        <rFont val="Aptos Narrow"/>
        <family val="2"/>
        <scheme val="minor"/>
      </rPr>
      <t>[is|is not]</t>
    </r>
    <r>
      <rPr>
        <sz val="11"/>
        <color theme="1"/>
        <rFont val="Aptos Narrow"/>
        <family val="2"/>
        <scheme val="minor"/>
      </rPr>
      <t xml:space="preserve"> managed by the organization that maintains the BESS installation. The router has </t>
    </r>
    <r>
      <rPr>
        <b/>
        <sz val="11"/>
        <color theme="1"/>
        <rFont val="Aptos Narrow"/>
        <family val="2"/>
        <scheme val="minor"/>
      </rPr>
      <t>[#]</t>
    </r>
    <r>
      <rPr>
        <sz val="11"/>
        <color theme="1"/>
        <rFont val="Aptos Narrow"/>
        <family val="2"/>
        <scheme val="minor"/>
      </rPr>
      <t xml:space="preserve"> power supplies to maintain network availability in the case of hardware failure. The router uses </t>
    </r>
    <r>
      <rPr>
        <b/>
        <sz val="11"/>
        <color theme="1"/>
        <rFont val="Aptos Narrow"/>
        <family val="2"/>
        <scheme val="minor"/>
      </rPr>
      <t>[fans|convection]</t>
    </r>
    <r>
      <rPr>
        <sz val="11"/>
        <color theme="1"/>
        <rFont val="Aptos Narrow"/>
        <family val="2"/>
        <scheme val="minor"/>
      </rPr>
      <t xml:space="preserve"> for cooling. The router </t>
    </r>
    <r>
      <rPr>
        <b/>
        <sz val="11"/>
        <color theme="1"/>
        <rFont val="Aptos Narrow"/>
        <family val="2"/>
        <scheme val="minor"/>
      </rPr>
      <t>[uses| does not use]</t>
    </r>
    <r>
      <rPr>
        <sz val="11"/>
        <color theme="1"/>
        <rFont val="Aptos Narrow"/>
        <family val="2"/>
        <scheme val="minor"/>
      </rPr>
      <t xml:space="preserve"> power over ethernet for connections. The router has</t>
    </r>
    <r>
      <rPr>
        <b/>
        <sz val="11"/>
        <color theme="1"/>
        <rFont val="Aptos Narrow"/>
        <family val="2"/>
        <scheme val="minor"/>
      </rPr>
      <t xml:space="preserve"> [#]</t>
    </r>
    <r>
      <rPr>
        <sz val="11"/>
        <color theme="1"/>
        <rFont val="Aptos Narrow"/>
        <family val="2"/>
        <scheme val="minor"/>
      </rPr>
      <t xml:space="preserve"> available ports after connecting in expected components. Multiple router </t>
    </r>
    <r>
      <rPr>
        <b/>
        <sz val="11"/>
        <color theme="1"/>
        <rFont val="Aptos Narrow"/>
        <family val="2"/>
        <scheme val="minor"/>
      </rPr>
      <t xml:space="preserve">[exist|do not exist] </t>
    </r>
    <r>
      <rPr>
        <sz val="11"/>
        <color theme="1"/>
        <rFont val="Aptos Narrow"/>
        <family val="2"/>
        <scheme val="minor"/>
      </rPr>
      <t>for failover capabilities.</t>
    </r>
  </si>
  <si>
    <r>
      <t xml:space="preserve">The primary function is to provide an alternative communication path with wireless links often between the component and the public network so that the authorized vendor can access the components in question. This allows vendors, operators, or maintenance personnel to remotely access the system for monitoring, management, and troubleshooting purposes. The following components use a cellular model to communicate to their vendor as follows: </t>
    </r>
    <r>
      <rPr>
        <b/>
        <sz val="11"/>
        <color theme="1"/>
        <rFont val="Aptos Narrow"/>
        <family val="2"/>
        <scheme val="minor"/>
      </rPr>
      <t>[List (component - vendor - network {BESS|Site|Component-Only}), ...]</t>
    </r>
    <r>
      <rPr>
        <sz val="11"/>
        <color theme="1"/>
        <rFont val="Aptos Narrow"/>
        <family val="2"/>
        <scheme val="minor"/>
      </rPr>
      <t xml:space="preserve">. The Cellular Modem uses </t>
    </r>
    <r>
      <rPr>
        <b/>
        <sz val="11"/>
        <color theme="1"/>
        <rFont val="Aptos Narrow"/>
        <family val="2"/>
        <scheme val="minor"/>
      </rPr>
      <t>[4G LTE|5G|3G]</t>
    </r>
    <r>
      <rPr>
        <sz val="11"/>
        <color theme="1"/>
        <rFont val="Aptos Narrow"/>
        <family val="2"/>
        <scheme val="minor"/>
      </rPr>
      <t xml:space="preserve"> and </t>
    </r>
    <r>
      <rPr>
        <b/>
        <sz val="11"/>
        <color theme="1"/>
        <rFont val="Aptos Narrow"/>
        <family val="2"/>
        <scheme val="minor"/>
      </rPr>
      <t>[requires|does not require]</t>
    </r>
    <r>
      <rPr>
        <sz val="11"/>
        <color theme="1"/>
        <rFont val="Aptos Narrow"/>
        <family val="2"/>
        <scheme val="minor"/>
      </rPr>
      <t xml:space="preserve"> the use of SIM card to connect to the cellular network. The antenna is </t>
    </r>
    <r>
      <rPr>
        <b/>
        <sz val="11"/>
        <color theme="1"/>
        <rFont val="Aptos Narrow"/>
        <family val="2"/>
        <scheme val="minor"/>
      </rPr>
      <t>[directional|omni-directional]</t>
    </r>
    <r>
      <rPr>
        <sz val="11"/>
        <color theme="1"/>
        <rFont val="Aptos Narrow"/>
        <family val="2"/>
        <scheme val="minor"/>
      </rPr>
      <t xml:space="preserve">. The cellular modem uses the following security features: </t>
    </r>
    <r>
      <rPr>
        <b/>
        <sz val="11"/>
        <color theme="1"/>
        <rFont val="Aptos Narrow"/>
        <family val="2"/>
        <scheme val="minor"/>
      </rPr>
      <t>[List - for example, VPN, encryption, secure boot, etc.]</t>
    </r>
    <r>
      <rPr>
        <sz val="11"/>
        <color theme="1"/>
        <rFont val="Aptos Narrow"/>
        <family val="2"/>
        <scheme val="minor"/>
      </rPr>
      <t xml:space="preserve">. The modem </t>
    </r>
    <r>
      <rPr>
        <b/>
        <sz val="11"/>
        <color theme="1"/>
        <rFont val="Aptos Narrow"/>
        <family val="2"/>
        <scheme val="minor"/>
      </rPr>
      <t>[is|is not]</t>
    </r>
    <r>
      <rPr>
        <sz val="11"/>
        <color theme="1"/>
        <rFont val="Aptos Narrow"/>
        <family val="2"/>
        <scheme val="minor"/>
      </rPr>
      <t xml:space="preserve"> managed by the organization that maintains the BESS installation. The modem has</t>
    </r>
    <r>
      <rPr>
        <b/>
        <sz val="11"/>
        <color theme="1"/>
        <rFont val="Aptos Narrow"/>
        <family val="2"/>
        <scheme val="minor"/>
      </rPr>
      <t xml:space="preserve"> [#]</t>
    </r>
    <r>
      <rPr>
        <sz val="11"/>
        <color theme="1"/>
        <rFont val="Aptos Narrow"/>
        <family val="2"/>
        <scheme val="minor"/>
      </rPr>
      <t xml:space="preserve"> power supplies to maintain network availability in the case of hardware failure. The modem uses </t>
    </r>
    <r>
      <rPr>
        <b/>
        <sz val="11"/>
        <color theme="1"/>
        <rFont val="Aptos Narrow"/>
        <family val="2"/>
        <scheme val="minor"/>
      </rPr>
      <t>[fans|convection]</t>
    </r>
    <r>
      <rPr>
        <sz val="11"/>
        <color theme="1"/>
        <rFont val="Aptos Narrow"/>
        <family val="2"/>
        <scheme val="minor"/>
      </rPr>
      <t xml:space="preserve"> for cooling. The modem </t>
    </r>
    <r>
      <rPr>
        <b/>
        <sz val="11"/>
        <color theme="1"/>
        <rFont val="Aptos Narrow"/>
        <family val="2"/>
        <scheme val="minor"/>
      </rPr>
      <t>[uses| does not use]</t>
    </r>
    <r>
      <rPr>
        <sz val="11"/>
        <color theme="1"/>
        <rFont val="Aptos Narrow"/>
        <family val="2"/>
        <scheme val="minor"/>
      </rPr>
      <t xml:space="preserve"> power over ethernet for connections. The modem has </t>
    </r>
    <r>
      <rPr>
        <b/>
        <sz val="11"/>
        <color theme="1"/>
        <rFont val="Aptos Narrow"/>
        <family val="2"/>
        <scheme val="minor"/>
      </rPr>
      <t>[#]</t>
    </r>
    <r>
      <rPr>
        <sz val="11"/>
        <color theme="1"/>
        <rFont val="Aptos Narrow"/>
        <family val="2"/>
        <scheme val="minor"/>
      </rPr>
      <t xml:space="preserve"> available ports after connecting in expected components.</t>
    </r>
  </si>
  <si>
    <r>
      <t xml:space="preserve">The primary function is safeguard electrical components from overcurrent conditions which can occur due to short circuits, overloads, or equipment failures. List the purpose, location, and ratings that fuses are installed in the BESS system: </t>
    </r>
    <r>
      <rPr>
        <b/>
        <sz val="11"/>
        <color theme="1"/>
        <rFont val="Aptos Narrow"/>
        <family val="2"/>
        <scheme val="minor"/>
      </rPr>
      <t>[List (purpose{overcurrent protection|circuit isolation} - {in conjunction with the battery modules or cells to protect against cell-level overcurrent|at the inputs/outputs of the PCS to protect power electronics form surges|along the DC bus that connects the battery packs to the PCS|Within the distribution panels that feed power to auxiliary systems like the TMS or Controllers|At the PCC to protect the interface between the BESS and the grid or other electrical systems} - #A max current rating, #V max voltage rating, #A interrupting fault current rating, {fast-acting|slow-blow})]</t>
    </r>
    <r>
      <rPr>
        <sz val="11"/>
        <color theme="1"/>
        <rFont val="Aptos Narrow"/>
        <family val="2"/>
        <scheme val="minor"/>
      </rPr>
      <t xml:space="preserve">. </t>
    </r>
  </si>
  <si>
    <r>
      <t>The primary function is provide overcurrent and  short-circuit protection, circuit isolation, and fault clearing. List the purpose, location, and ratings that circuit breakers are installed in the BESS system:</t>
    </r>
    <r>
      <rPr>
        <b/>
        <sz val="11"/>
        <color theme="1"/>
        <rFont val="Aptos Narrow"/>
        <family val="2"/>
        <scheme val="minor"/>
      </rPr>
      <t xml:space="preserve"> [List (purpose{overcurrent|short-circuit|circuit isolation|fault-clearing} - {output of the PCS to protect the inverter and other power electronics|on the service entrance to provide main protection for the entire BESS from the AC grid|within the AC distribution panel that distribute power to various BESS subsystems such as TMS, Controller, and auxillary services|near critical loads points that require individual protection within the BESS system} - #A max continuous current rating, #V max voltage, #A max fault current, {instantaneous|short-time delay|long-time delay|combination}, auxiliary features {shut-trips, under-voltage releases, auxilary contacts for signaling and control purposes}, # of poles)]</t>
    </r>
    <r>
      <rPr>
        <sz val="11"/>
        <color theme="1"/>
        <rFont val="Aptos Narrow"/>
        <family val="2"/>
        <scheme val="minor"/>
      </rPr>
      <t>.</t>
    </r>
  </si>
  <si>
    <r>
      <t xml:space="preserve">The primary function is provide the interface between the site and the grid, handling the high power levels typical of utility-scale electrical infrastructure. List the purpose, location, and ratings that Utility Power Level Switchgear are installed in the BESS Site: </t>
    </r>
    <r>
      <rPr>
        <b/>
        <sz val="11"/>
        <color theme="1"/>
        <rFont val="Aptos Narrow"/>
        <family val="2"/>
        <scheme val="minor"/>
      </rPr>
      <t>[List (purpose{grid connection|protection|isolation|control and monitoring|load management} - {at the PCC between the site and the grid|dedicated enclosure that are part of the BESS site but designed for interfacing with the utility grid},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t>
    </r>
    <r>
      <rPr>
        <sz val="11"/>
        <color theme="1"/>
        <rFont val="Aptos Narrow"/>
        <family val="2"/>
        <scheme val="minor"/>
      </rPr>
      <t>.</t>
    </r>
  </si>
  <si>
    <r>
      <t>The primary function is to manage the distribution and control of electrical power within the microgrid, independent of the utility grid, handling the voltage levels suitable for local distribution typically at the medium or low voltage range. List the purpose, location, and ratings that Lower Power Level Switchgear are installed in the BESS Site:</t>
    </r>
    <r>
      <rPr>
        <b/>
        <sz val="11"/>
        <color theme="1"/>
        <rFont val="Aptos Narrow"/>
        <family val="2"/>
        <scheme val="minor"/>
      </rPr>
      <t xml:space="preserve"> [List (purpose{distribution control|protection|isolation|load management|metering} - {substations or dedicated enclosures in the BESS Site|Close proximity to the BESS to connect the Energy Sources with the local distribution network|strategic locations in the microgrid to control the distribution of power to various load centers},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t>
    </r>
  </si>
  <si>
    <r>
      <t xml:space="preserve">The primary function is provide power connection between the site installation and the electrical grid. List the purpose, location, and ratings that Control Power Transformers are installed in the BESS Site: </t>
    </r>
    <r>
      <rPr>
        <b/>
        <sz val="11"/>
        <color theme="1"/>
        <rFont val="Aptos Narrow"/>
        <family val="2"/>
        <scheme val="minor"/>
      </rPr>
      <t>[List (purpose{voltage transformation|Electrical Isolation|impedance matching} - {at the PCC between the site and the grid} - #VA power rating, Input/Output V rating, Tap Changer:{On-Load|Off-Load|None}, {MaxOperateTemp}, Cooling:{Oil-Immersed with Radiator|Air-Cooled|Forced-Oil}, Windings:{Wye-Wye|Wye-Delta|Delta-Wye|Delta-Delta}, {Impedance}%)]</t>
    </r>
    <r>
      <rPr>
        <sz val="11"/>
        <color theme="1"/>
        <rFont val="Aptos Narrow"/>
        <family val="2"/>
        <scheme val="minor"/>
      </rPr>
      <t>.</t>
    </r>
  </si>
  <si>
    <r>
      <t xml:space="preserve">The primary function is provide stable and isolated power source for the low-voltage (24VAC - 240VAC) control circuits and devices within the system. List the purpose, location, and ratings that Control Power Transformers are installed in the BESS System: </t>
    </r>
    <r>
      <rPr>
        <b/>
        <sz val="11"/>
        <color theme="1"/>
        <rFont val="Aptos Narrow"/>
        <family val="2"/>
        <scheme val="minor"/>
      </rPr>
      <t>[List (purpose{voltage transformation|Electrical Isolation|Power Conditioning} - {electrical panels that house the BESS control systems, such as the BESS Controller, Site Controller and other automation equipment|Near the HMI Panels and operator workstations|Close to protection relays, communication devices, and other critical monitoring equipment that require a stable power supply} - #VA power rating, Input/Output V rating, {MaxOperateTemp})]</t>
    </r>
    <r>
      <rPr>
        <sz val="11"/>
        <color theme="1"/>
        <rFont val="Aptos Narrow"/>
        <family val="2"/>
        <scheme val="minor"/>
      </rPr>
      <t>.</t>
    </r>
  </si>
  <si>
    <r>
      <t xml:space="preserve">The primary function is to service local loads not direct connected to the utility grid but services via the microgrid.  List the purpose, location, and ratings that Local Power Transformers are installed in the BESS System: </t>
    </r>
    <r>
      <rPr>
        <b/>
        <sz val="11"/>
        <color theme="1"/>
        <rFont val="Aptos Narrow"/>
        <family val="2"/>
        <scheme val="minor"/>
      </rPr>
      <t>[List (purpose{voltage matching|Electrical Isolation|Power quality} - {near output of the BESS PCS or other energy sources where AC power is generated|At distribution points within the microgrid where power is divided among multiple local loads|close to critical loads that require stable and conditioned power supply} - #VA power rating, Input/Output V rating, Tap Changer:{On-Load|Off-Load|None}, {NumOfPhases}, Cooling:{Oil-Immersed with Radiator|Air-Cooled|Forced-Oil}, {MaxOperateTemp}, Windings:{Wye-Wye|Wye-Delta|Delta-Wye|Delta-Delta}, {Impedance}%)]</t>
    </r>
    <r>
      <rPr>
        <sz val="11"/>
        <color theme="1"/>
        <rFont val="Aptos Narrow"/>
        <family val="2"/>
        <scheme val="minor"/>
      </rPr>
      <t>.</t>
    </r>
  </si>
  <si>
    <r>
      <t xml:space="preserve">The primary function is automated high-voltage electric switch to protect the grid which can automatically restore power after a fault clears. The recloser has the following purposes </t>
    </r>
    <r>
      <rPr>
        <b/>
        <sz val="11"/>
        <color theme="1"/>
        <rFont val="Aptos Narrow"/>
        <family val="2"/>
        <scheme val="minor"/>
      </rPr>
      <t>[fault detection and interruption|automatic reclosing|configurable operations|isolation of faulted sections]</t>
    </r>
    <r>
      <rPr>
        <sz val="11"/>
        <color theme="1"/>
        <rFont val="Aptos Narrow"/>
        <family val="2"/>
        <scheme val="minor"/>
      </rPr>
      <t xml:space="preserve">. The Recloser is installed at </t>
    </r>
    <r>
      <rPr>
        <b/>
        <sz val="11"/>
        <color theme="1"/>
        <rFont val="Aptos Narrow"/>
        <family val="2"/>
        <scheme val="minor"/>
      </rPr>
      <t>[PCC between the BESS site and the grid|other]</t>
    </r>
    <r>
      <rPr>
        <sz val="11"/>
        <color theme="1"/>
        <rFont val="Aptos Narrow"/>
        <family val="2"/>
        <scheme val="minor"/>
      </rPr>
      <t xml:space="preserve">. The rated voltage is </t>
    </r>
    <r>
      <rPr>
        <b/>
        <sz val="11"/>
        <color theme="1"/>
        <rFont val="Aptos Narrow"/>
        <family val="2"/>
        <scheme val="minor"/>
      </rPr>
      <t>[MaxVoltage]</t>
    </r>
    <r>
      <rPr>
        <sz val="11"/>
        <color theme="1"/>
        <rFont val="Aptos Narrow"/>
        <family val="2"/>
        <scheme val="minor"/>
      </rPr>
      <t xml:space="preserve">V, the rated current is </t>
    </r>
    <r>
      <rPr>
        <b/>
        <sz val="11"/>
        <color theme="1"/>
        <rFont val="Aptos Narrow"/>
        <family val="2"/>
        <scheme val="minor"/>
      </rPr>
      <t>[MaxCurr]</t>
    </r>
    <r>
      <rPr>
        <sz val="11"/>
        <color theme="1"/>
        <rFont val="Aptos Narrow"/>
        <family val="2"/>
        <scheme val="minor"/>
      </rPr>
      <t xml:space="preserve">A. The number of reclosing attempts is </t>
    </r>
    <r>
      <rPr>
        <b/>
        <sz val="11"/>
        <color theme="1"/>
        <rFont val="Aptos Narrow"/>
        <family val="2"/>
        <scheme val="minor"/>
      </rPr>
      <t>[#]</t>
    </r>
    <r>
      <rPr>
        <sz val="11"/>
        <color theme="1"/>
        <rFont val="Aptos Narrow"/>
        <family val="2"/>
        <scheme val="minor"/>
      </rPr>
      <t xml:space="preserve"> with a timing between attempts of </t>
    </r>
    <r>
      <rPr>
        <b/>
        <sz val="11"/>
        <color theme="1"/>
        <rFont val="Aptos Narrow"/>
        <family val="2"/>
        <scheme val="minor"/>
      </rPr>
      <t>[#] [seconds|milliseconds]</t>
    </r>
    <r>
      <rPr>
        <sz val="11"/>
        <color theme="1"/>
        <rFont val="Aptos Narrow"/>
        <family val="2"/>
        <scheme val="minor"/>
      </rPr>
      <t xml:space="preserve">. The trip sensitivity is </t>
    </r>
    <r>
      <rPr>
        <b/>
        <sz val="11"/>
        <color theme="1"/>
        <rFont val="Aptos Narrow"/>
        <family val="2"/>
        <scheme val="minor"/>
      </rPr>
      <t>{TripSensitivity}</t>
    </r>
    <r>
      <rPr>
        <sz val="11"/>
        <color theme="1"/>
        <rFont val="Aptos Narrow"/>
        <family val="2"/>
        <scheme val="minor"/>
      </rPr>
      <t xml:space="preserve">. The mechanism type for opening and closing the contacts is </t>
    </r>
    <r>
      <rPr>
        <b/>
        <sz val="11"/>
        <color theme="1"/>
        <rFont val="Aptos Narrow"/>
        <family val="2"/>
        <scheme val="minor"/>
      </rPr>
      <t>[magnetic|hydraulic|spring-loaded|other]</t>
    </r>
    <r>
      <rPr>
        <sz val="11"/>
        <color theme="1"/>
        <rFont val="Aptos Narrow"/>
        <family val="2"/>
        <scheme val="minor"/>
      </rPr>
      <t xml:space="preserve">. The recloser communicates to: </t>
    </r>
    <r>
      <rPr>
        <b/>
        <sz val="11"/>
        <color theme="1"/>
        <rFont val="Aptos Narrow"/>
        <family val="2"/>
        <scheme val="minor"/>
      </rPr>
      <t>[List (Component - parameters)]</t>
    </r>
    <r>
      <rPr>
        <sz val="11"/>
        <color theme="1"/>
        <rFont val="Aptos Narrow"/>
        <family val="2"/>
        <scheme val="minor"/>
      </rPr>
      <t xml:space="preserve"> and received communication from: </t>
    </r>
    <r>
      <rPr>
        <b/>
        <sz val="11"/>
        <color theme="1"/>
        <rFont val="Aptos Narrow"/>
        <family val="2"/>
        <scheme val="minor"/>
      </rPr>
      <t>[List (Component - parameters)]</t>
    </r>
    <r>
      <rPr>
        <sz val="11"/>
        <color theme="1"/>
        <rFont val="Aptos Narrow"/>
        <family val="2"/>
        <scheme val="minor"/>
      </rPr>
      <t>.</t>
    </r>
  </si>
  <si>
    <r>
      <t xml:space="preserve">The primary function is to monitor electrical parameters and initiate protective actions when those paramters indicate abnormal or fault conditions. List the purpose, location, and ratings that protection relays are installed in the BESS Site: </t>
    </r>
    <r>
      <rPr>
        <b/>
        <sz val="11"/>
        <color theme="1"/>
        <rFont val="Aptos Narrow"/>
        <family val="2"/>
        <scheme val="minor"/>
      </rPr>
      <t>[List (purpose{fault detection|system protection|selective coordination|event recording} - {at PCS to protect inverter and converters|within switchgear and panel boards that distribute power to the BESS and associated systems|alongside transformers and at PCC to the grid to protect faults transmitted through the transformer or from the grid|place where electrical circuits could be exposed to fault conditions such as feeder lines to critical loads}, Communicates: List({trip signals|alarm and status signals|event and data logging|control commands}, [DNP3|ModbusTCP|IEC61850|other], Communicates to: {Components}), {ResponseTime}, {[Yes|No]UserInterface present for [programming|monitoring|diagnostics]})]</t>
    </r>
    <r>
      <rPr>
        <sz val="11"/>
        <color theme="1"/>
        <rFont val="Aptos Narrow"/>
        <family val="2"/>
        <scheme val="minor"/>
      </rPr>
      <t>.</t>
    </r>
  </si>
  <si>
    <t>Audience Expectations</t>
  </si>
  <si>
    <t>Step 1</t>
  </si>
  <si>
    <t>Step 2</t>
  </si>
  <si>
    <t>Step 3</t>
  </si>
  <si>
    <t>Step 5</t>
  </si>
  <si>
    <t>Step 4</t>
  </si>
  <si>
    <t>NOTE: Instructions to the far top right.</t>
  </si>
  <si>
    <t>Successful completion of system analysis is a team activity.</t>
  </si>
  <si>
    <t>Is intended to be completed by any user who has awareness of the equipment</t>
  </si>
  <si>
    <t>Is Intended to be completed by any user who has awareness of the grid services</t>
  </si>
  <si>
    <t>as it pertains to the impacts derived from the failure of the grid service.</t>
  </si>
  <si>
    <t>Is intended to be completed by the asset owner organization and their level of risk acceptance</t>
  </si>
  <si>
    <t>Is intended to be completed by an engineer from the integrator, design firm, or asset owner</t>
  </si>
  <si>
    <t>and a cybersecurity professional also from either the integrator, design firm, or asset owner</t>
  </si>
  <si>
    <t>Is intended to be completed by the same audience that provided the analysis in Step 4.</t>
  </si>
  <si>
    <t>CIE Principles</t>
  </si>
  <si>
    <t>Regulatory Impact</t>
  </si>
  <si>
    <t>The deployment's presence on the grid is negligible, and its operations do not introduce any discernible risks or challenges to grid stability, reliability, or operation. Its scale and scope of activities are too limited to create negative consequences.</t>
  </si>
  <si>
    <t>The deployment has some minor drawbacks, such as small-scale technical challenges, limited integration issues, or minor regulatory hurdles. These issues are generally localized and do not pose a significant threat to the broader grid's performance or stability.</t>
  </si>
  <si>
    <t>The deployment starts to introduce more notable challenges that require attention. This could include grid integration difficulties, such as managing intermittent output from associated renewable sources or ensuring that the BESS does not destabilize local grid segments. There might be moderate regulatory or market impacts that necessitate changes or adaptations.</t>
  </si>
  <si>
    <t>The deployment has a major presence that, if not properly managed, could lead to significant grid management challenges. These might include the potential for grid overload during times of excess energy storage discharge, rapid voltage fluctuations, or the disruption of energy markets. These impacts could require substantial investments in grid infrastructure upgrades or operational changes to mitigate risks.</t>
  </si>
  <si>
    <t>The deployment's actions have profound and possibly overwhelming consequences for the grid. This might manifest as severe grid instability due to improper integration or coordination, significant reliability issues, or the displacement of other generation assets that compromises grid resilience. At this level, the deployment's operations could necessitate urgent and extensive interventions by grid operators, regulators, and policymakers to address the negative impacts and ensure the continued safe and reliable operation of the grid.</t>
  </si>
  <si>
    <t>The deployment fully complies with existing regulations, resulting in no fines or enforcement actions. The system meets all safety, interconnection, and operational standards, and there are no violations of regulatory requirements.</t>
  </si>
  <si>
    <t>The deployment encounters minor regulatory issues, possibly due to administrative oversights or slight deviations from technical standards. Any fines or penalties are minimal and easily addressed. The issues do not represent systemic problems and can be quickly remedied with minor adjustments.</t>
  </si>
  <si>
    <t>The deployment faces moderate regulatory challenges, such as failing to meet certain certification requirements or causing minor grid disturbances due to operational errors. Fines and penalties are more significant and may require the deployment team to implement corrective actions, enhance compliance procedures, or make technical modifications.</t>
  </si>
  <si>
    <t>The regulatory consequences of deployment are significant, stemming from more serious violations such as non-compliance with major safety codes or causing notable grid reliability issues. The resulting fines and penalties are substantial, and the deployment may face operational suspensions or be required to undergo rigorous audits and compliance checks. There may also be reputational damage, and the organization might need to invest in comprehensive compliance management systems.</t>
  </si>
  <si>
    <t>The deployment has severe regulatory consequences due to major violations, such as critical safety incidents, significant environmental impacts, or major grid disruptions. Fines and penalties are heavy and could threaten the financial viability of the project. The organization might face legal actions, long-term suspensions, or even the revocation of operating licenses. The deployment would require extensive remediation efforts, potentially including system redesigns, retraining of personnel, or complete operational overhauls.</t>
  </si>
  <si>
    <t>Mean Time to Recover (MTTR)</t>
  </si>
  <si>
    <t>The organization can repair and completely recover the system in below 5 hours. The time to recover this system has minimal financial and time costs.</t>
  </si>
  <si>
    <t>The organization can repair and completely recover the system between 5 and 12 hours. The time to recover this system causes minor financial and time costs.</t>
  </si>
  <si>
    <t>The organization can repair and completely recover the system between 12 and 24 hours. The time to recover this system causes noticeable financial and time costs.</t>
  </si>
  <si>
    <t>The organization can repair and completely recover the system between 24 and 48 hours. The time to recover this system causes significant financial and time costs.</t>
  </si>
  <si>
    <t>The organization can repair and completely recover the system in over 48 hours. The time to recover this system causes catastrophic financial and time costs.</t>
  </si>
  <si>
    <t>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t>
  </si>
  <si>
    <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t>
  </si>
  <si>
    <t>[IF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t>
  </si>
  <si>
    <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t>
  </si>
  <si>
    <t>Bulk Energy System (Grid) Impact [Mission Delivery]</t>
  </si>
  <si>
    <t>Step 3 is meant to identify the impact caused the failure of the service in question (i.e. consequence).
For each applicable service, the user needs to select two selections per impact type. For each impact, there is a 5 tier rating from insignificant to severe. Based on the description for the impact rating, please select that rating for the applicable service. All applicable services ought to have a impact rating selected to best calculate the outcome.
In addition to selecting the impact rating for a service, the user is expected to select a global risk acceptance threshold for each impact type. Once a threshold is selected, the entire row across the applicable services will be highlight to indicate that threshold. The difference between this threshold and the selected impact rating gives an awareness of this interrelationship. 
The underlying process calculates this interrelationship and if on average the impact ratings sit at or go above the risk acceptance threshold, then that service is highlighted in the next step. This highlight is intended to provide a minimum experience in the next step where as all applicable services are available for analysis if analysis is desired. Proceed to Step 4.
THE CIE QUESTION SOUGHT TO BE ANSWERED HERE ARE:
What are the consequences that could result from a failure or unexpected operation of the system’s critical functions? What impacts could there be to mission delivery, safety, security, the environment, equipment and property, financials, or corporate reputation?</t>
  </si>
  <si>
    <t>Step 4 is meant to analyze the enabling functions from multiple perspectives, engineering and cybersecurity.
Questions from CIE Implementation guidance are provided in the analysis columns to spur on how one might think about the descriptions provided by the enabling function description.
Globally, from an engineering perspective, engineers are best suited for questioning the causal behavior that is realized when parameters involved at the equipment are manipulated especially to their extremes. This helps derive what is possible and the concern is not so much at likelihood because the chief assumption is that given enough time and money it is possible.
From a cybersecurity perspective, cybersecurity professionals are best suited for questions the misuse behavior that is made available when digital functions are available within an equipment. In today's modernization, this is becoming more and more ubiquitis in the equipment used to provide the applicable services.
Once the analysis is complete, it is expected that "hotspots", analysis descriptions from engineering that demonstrate the possibility of equipment damage, loss of operations, and other impacts are possible in combination of the misuse demonstrate a desire to mitigate, are present. Special consideration to those services, highlighted yellow, where impacts are at or beyond risk acceptance.
These "hotspots" derived from the analysis are the context to position mitigations enumerated/selected in the next step. Process to Step 5.</t>
  </si>
  <si>
    <t>Type</t>
  </si>
  <si>
    <t>CIE</t>
  </si>
  <si>
    <t>Cybersecurity</t>
  </si>
  <si>
    <t>Implement fuses at the individual cell level to protect against overcurrent conditions due to malicious control signals or faults.</t>
  </si>
  <si>
    <t>Monitor cell voltage and temperature to detect and respond to out-of-range conditions that could be indicative of cyber tampering or physical faults.</t>
  </si>
  <si>
    <t>Use redundant sensors for battery cell measurements of voltage, current, and/or temperature to ensure that a single sensor failure or spoofing does not lead to incorrect actions.</t>
  </si>
  <si>
    <t>Use passive components such as bleed resistors to balance the cells passively, providing a simple and robust method less susceptible to cyber attacks.</t>
  </si>
  <si>
    <t>Use active balancing with dedicated balancing circuits that can be designed with inherent safety limits and protections against overcurrent and overvoltage.</t>
  </si>
  <si>
    <t>Protect power electronic devices and control circuitry with hardened enclosures to prevent physical tampering or damage.</t>
  </si>
  <si>
    <t>Install thermal shutdown circuitry which includes sensors that monitor the temperature of a battery cell. When the temperature exceeds a predetermined threshold indicating overheating, the thermal shutdown circuitry activates and disconnects the battery cell to prevent further temperature rise and potential damage.</t>
  </si>
  <si>
    <t>Implement fuses or circuit breakers at the individual module level to protect against overcurrent conditions due to malicious control signals or faults.</t>
  </si>
  <si>
    <t>Use redundant sensors for battery module measurements of voltage, current, and/or temperature to ensure that a single sensor failure or spoofing does not lead to incorrect actions.</t>
  </si>
  <si>
    <t>Use passive components such as bleed resistors to balance the modules passively, providing a simple and robust method less susceptible to cyber attacks.</t>
  </si>
  <si>
    <t>Protect power electronic devices and control circuitry with hardened module enclosures to prevent physical tampering or damage.</t>
  </si>
  <si>
    <t>Install thermal shutdown circuitry which includes sensors that monitor the general temperature of a battery module. When the temperature exceeds a predetermined threshold indicating overheating, the thermal shutdown circuitry activates and disconnects the battery cell to prevent further temperature rise and potential damage.</t>
  </si>
  <si>
    <t>Monitor module voltage and temperature to detect and respond to out-of-range conditions that could be indicative of cyber tampering or physical faults.</t>
  </si>
  <si>
    <t>Design the battery pack enclosure to contain potential failures within a module, minimizing the risk of propagation to other modules or the environment.</t>
  </si>
  <si>
    <t>If electrochemistry applicable, design battery packs with built-in venting mechanisms that allow for the controlled release of gases in case of overcharging, overheating, or internal short-circuiting of modules/cells.</t>
  </si>
  <si>
    <t>If electrochemistry applicable, install pressure relief valves in the pack on cells/modules to allow for the safe venting of gases if the internal pressure exceeds safe limits. These valves are designed to open at a predetermined pressure to prevent cell/module rupture events.</t>
  </si>
  <si>
    <t>Install gas detection sensors within the battery enclosure to monitor for the presence of hazardous gases. If detected, the system can trigger alarms, initiate ventilation, or shut down the system to prevent ignition.</t>
  </si>
  <si>
    <t>Integrate safety interlocks that can disable charging or discharging in response to unsafe pressure levels, temperatures, or gas concentrations.</t>
  </si>
  <si>
    <t>Implement fuses or circuit breakers at the individual pack level to protect against overcurrent conditions due to malicious control signals or faults.</t>
  </si>
  <si>
    <t>Use redundant sensors for battery pack measurements of voltage, current, and/or temperature to ensure that a single sensor failure or spoofing does not lead to incorrect actions.</t>
  </si>
  <si>
    <t>Use passive components such as bleed resistors to balance the packs passively, providing a simple and robust method less susceptible to cyber attacks.</t>
  </si>
  <si>
    <t>Protect power electronic devices and control circuitry with hardened pack enclosures to prevent physical tampering or damage.</t>
  </si>
  <si>
    <t>Install thermal shutdown circuitry which includes sensors that monitor the general temperature of a battery pack. When the temperature exceeds a predetermined threshold indicating overheating, the thermal shutdown circuitry activates and disconnects the battery cell to prevent further temperature rise and potential damage.</t>
  </si>
  <si>
    <t>Include in any emergency response plan that includes procedures for dealing with venting gases, thermal events, and potential fires or explosions, steps that consider the result of cyber attack on the battery pack.</t>
  </si>
  <si>
    <t>Include in any regular maintenance schedules and inspection protocols to ensure engineering control mechanisms function correctly and are not obstructed, and looking for indications or precursor events to battery pack failure as an effect of digital failure or sabotage activities.</t>
  </si>
  <si>
    <t>Install indicators, such as status lights or power characteristic displays (i.e. voltage, energy, temperature) that represent battery status on the battery packs for quick inspection by maintenance staff</t>
  </si>
  <si>
    <t>Employ redundent interface boards to ensure that a single interface board failure or spoofing does not lead to incorrect actions.</t>
  </si>
  <si>
    <t>Install tamper evident or lockable connectors when connecting signals and communication cables.</t>
  </si>
  <si>
    <t>Disable physically (i.e. glue, removal, etc.) of unused interfaces.</t>
  </si>
  <si>
    <t>Implement any protection logic actions with circuit elements to provide a method less susceptible to cyber attacks.</t>
  </si>
  <si>
    <t>Implement analog filtering to implement input validation methods on the signal before it is digitized via A/D circuit.</t>
  </si>
  <si>
    <t>Integrate watchdog timers to reset the system in case of any microcontroller malfunctions.</t>
  </si>
  <si>
    <t>Install a serial communication sensor to read values and communication events being communicated via the serial bus communication interface (i.e. CANbus, ModBus, RS232, etc.) and communicate readings to monitoring platform.</t>
  </si>
  <si>
    <t>Implement montioring rules for sensor readings in monitoring platform that focus on indications or precursor events to battery pack failure as an effect of digital failure or sabotage activities.</t>
  </si>
  <si>
    <t>Use secure boot mechanisms to ensure that the BMS interface board only executes authenticated and integrity-checked firmware.</t>
  </si>
  <si>
    <t>Use secure communication protocols like TLS or SSH for any remote communications, such as to the BMS controller, to or from the BMS interface board.</t>
  </si>
  <si>
    <t>Enforce the use of a password to ensure that only authorized personnel and systems can interact with the BMS interface board.</t>
  </si>
  <si>
    <t>Enforce the use of a complex password requirements to ensure sufficient strength in the password.</t>
  </si>
  <si>
    <t>Utilize role-based access controls to limit the capabilities of each user type (technician vs. engineer vs. others, etc.) based on their necessity.</t>
  </si>
  <si>
    <t>Ensure the BMS interface board only communicates on the battery network and not from non-essential networks, such as a site network. (Network Segmentation)</t>
  </si>
  <si>
    <t>Use digital certificates or cryptographic keys for device-to-device authentication to prevent unauthorized devices from connecting and communicating with interface board.</t>
  </si>
  <si>
    <t>Utilize a 'one-time programmable' method (i.e. Mask ROM, PROM, etc.) when writing the firmware to a chip on the interface board.</t>
  </si>
  <si>
    <t>Implement logging for any signs of unauthorized access or unusual patterns that could indicate a cyber-attack.</t>
  </si>
  <si>
    <r>
      <t xml:space="preserve">The primary function is to provide state estimation, decision making, protection and thermal management of batteries keep the batteries within the optimal temperature ranges. The following battery metrics are calculated: </t>
    </r>
    <r>
      <rPr>
        <b/>
        <sz val="11"/>
        <color theme="1"/>
        <rFont val="Aptos Narrow"/>
        <family val="2"/>
        <scheme val="minor"/>
      </rPr>
      <t>[State of Charge (SoC), State of Health (SoH), State of Power (SoP), ...]</t>
    </r>
    <r>
      <rPr>
        <sz val="11"/>
        <color theme="1"/>
        <rFont val="Aptos Narrow"/>
        <family val="2"/>
        <scheme val="minor"/>
      </rPr>
      <t xml:space="preserve">. The following decisions are made: </t>
    </r>
    <r>
      <rPr>
        <b/>
        <sz val="11"/>
        <color theme="1"/>
        <rFont val="Aptos Narrow"/>
        <family val="2"/>
        <scheme val="minor"/>
      </rPr>
      <t>[when to start or stop charging, when to start or stop discharging, how to manage current and voltage, and how to balance the cells to maintain uniformity]</t>
    </r>
    <r>
      <rPr>
        <sz val="11"/>
        <color theme="1"/>
        <rFont val="Aptos Narrow"/>
        <family val="2"/>
        <scheme val="minor"/>
      </rPr>
      <t xml:space="preserve">. The following conditions are used for protection functions: </t>
    </r>
    <r>
      <rPr>
        <b/>
        <sz val="11"/>
        <color theme="1"/>
        <rFont val="Aptos Narrow"/>
        <family val="2"/>
        <scheme val="minor"/>
      </rPr>
      <t>[overvoltage, undervoltage, overtemperature, overcurrent, ...]</t>
    </r>
    <r>
      <rPr>
        <sz val="11"/>
        <color theme="1"/>
        <rFont val="Aptos Narrow"/>
        <family val="2"/>
        <scheme val="minor"/>
      </rPr>
      <t xml:space="preserve">. The following commands are used for thermal management: </t>
    </r>
    <r>
      <rPr>
        <b/>
        <sz val="11"/>
        <color theme="1"/>
        <rFont val="Aptos Narrow"/>
        <family val="2"/>
        <scheme val="minor"/>
      </rPr>
      <t>[cooling, heating]</t>
    </r>
    <r>
      <rPr>
        <sz val="11"/>
        <color theme="1"/>
        <rFont val="Aptos Narrow"/>
        <family val="2"/>
        <scheme val="minor"/>
      </rPr>
      <t xml:space="preserve">. The following protocol is used to communciate signals upstream between this board and a component: </t>
    </r>
    <r>
      <rPr>
        <b/>
        <sz val="11"/>
        <color theme="1"/>
        <rFont val="Aptos Narrow"/>
        <family val="2"/>
        <scheme val="minor"/>
      </rPr>
      <t>[list the following (protocol (i.e. CAN, ModBus, TCP/IP, etc.) - component)]</t>
    </r>
    <r>
      <rPr>
        <sz val="11"/>
        <color theme="1"/>
        <rFont val="Aptos Narrow"/>
        <family val="2"/>
        <scheme val="minor"/>
      </rPr>
      <t>.</t>
    </r>
  </si>
  <si>
    <t>Install a faraday cage, enclosures made of conductive materials that block electromagnetic signals, including wireless transmissions to limit the influence of wireless signals against this controller.</t>
  </si>
  <si>
    <t>Install a faraday cage, enclosures made of conductive materials that block electromagnetic signals, including wireless transmissions to limit the influence of wireless signals against this interface board.</t>
  </si>
  <si>
    <t>Install Electromagnetic Interferance (EMI) and/or Thermal sensors on a chip to monitor the computations actively executed by the chips and use to monitor the relationship to baseline activity.</t>
  </si>
  <si>
    <t>Site Installation</t>
  </si>
  <si>
    <t>Implement surveillance cameras (different network segment) that can monitor for unauthorized individuals who are physically accessing the components.</t>
  </si>
  <si>
    <t>Implement routines to validate sensor data for plausibility before using it to make decisions, checking for out-of-range values or physically impossible changes.</t>
  </si>
  <si>
    <t>Use checksums, CRCs, or other error-detection codes to verify that signals received from the interface board and sensors have not been corrupted.</t>
  </si>
  <si>
    <t>Design the BMS controller with fault-tolerant hardware, including redundant circuits or processors that can take over if the primary one fails.</t>
  </si>
  <si>
    <t>Implement rate limiting for control actions to prevent unsafe operation even if the controller receives an erroneous signal that suggests rapid action is needed.</t>
  </si>
  <si>
    <t>Implement rate limiting for control actions, such as time delay relay, to prevent unsafe operation if the controller outputs an action in a rapid manner. The timing should match the normal plus a buffer timing strategy.</t>
  </si>
  <si>
    <t>Utilize a real-time operating system that is designed for high reliability and predictability in executing actions.</t>
  </si>
  <si>
    <t>Provide a manual override capability for operators to take control of the battery system in case the BMS controller is making unsafe decisions.</t>
  </si>
  <si>
    <t>Use secure boot mechanisms to ensure that the BMS controller only executes authenticated and integrity-checked firmware.</t>
  </si>
  <si>
    <t>Use secure communication protocols like TLS or SSH for any remote communications, such as to the BMS interface board, to or from the BESS Controller or HMI, etc.</t>
  </si>
  <si>
    <t>Enforce the use of a password to ensure that only authorized personnel and systems can interact with the BMS controller.</t>
  </si>
  <si>
    <t>Use digital certificates or cryptographic keys for device-to-device authentication to prevent unauthorized devices from connecting and communicating with BMS controller.</t>
  </si>
  <si>
    <t>Ensure the BMS controller only communicates on the battery network and not from non-essential networks, such as a site network. (Network Segmentation)</t>
  </si>
  <si>
    <t>Implement analog filtering to implement input validation methods on the communicated signal before it is digitized via an A/D circuit.</t>
  </si>
  <si>
    <t>Implement limit alarms against the measured signal as discrete outputs which can be used to signal limit checks for protection logic</t>
  </si>
  <si>
    <t>Implement shielded cabling mechanisms to prevent monitoring of the signal from external to the system.</t>
  </si>
  <si>
    <t>Inject signatures (i.e., noise, IDs, checksums) into the communication of specific measured process signal to verify integrity.</t>
  </si>
  <si>
    <t>Incorporate cyber-attack considerations in the calibration procedures and checks to ensure sensor accuracy is not compromised.</t>
  </si>
  <si>
    <t>Implement a passive fail-safe default state in the event of a sensor failure or discrepancy.</t>
  </si>
  <si>
    <t>Site</t>
  </si>
  <si>
    <t>Install an Analog liquid temperature monitoring system to measure the temperature of liquids that are used within the transformer. This system employs analog temperature sensors, such as thermistors or resistance temperature detectors (RTDs), to monitor liquid temperatures. If the temperature exceeds predefined limits indicating overheating or freezing conditions, the analog monitoring circuit triggers protective actions, such as adjusting flow rates, activating heaters or chillers, or shutting down equipment.</t>
  </si>
  <si>
    <t>Service Level Agreements are established between the system and the systems that dependent on this system.</t>
  </si>
  <si>
    <t>Process &amp; Personnel</t>
  </si>
  <si>
    <t>Install non-digital sensor read-outs for use by system operators to reduce the digital asset usage or provide redundant sensor indications.</t>
  </si>
  <si>
    <t>Disable physically (i.e. glue, removal, etc.) unused interfaces.</t>
  </si>
  <si>
    <t>"Other" Energy Sources Subsystem</t>
  </si>
  <si>
    <t>Generation Meter</t>
  </si>
  <si>
    <t>Revenue-Grade Meter</t>
  </si>
  <si>
    <t>Other Energy Source #1</t>
  </si>
  <si>
    <t>Other Energy Source #2</t>
  </si>
  <si>
    <r>
      <t xml:space="preserve">The primary function is to measure the direct electrical input and output of the Generation Energy Source system, providing real-time data on the power and energy being charged or discharged, respectively. The following parameters are communicated to other components: </t>
    </r>
    <r>
      <rPr>
        <b/>
        <sz val="11"/>
        <color theme="1"/>
        <rFont val="Aptos Narrow"/>
        <family val="2"/>
        <scheme val="minor"/>
      </rPr>
      <t>[List (component - parameters, ...)]</t>
    </r>
    <r>
      <rPr>
        <sz val="11"/>
        <color theme="1"/>
        <rFont val="Aptos Narrow"/>
        <family val="2"/>
        <scheme val="minor"/>
      </rPr>
      <t xml:space="preserve">. Examples of parameters include: voltage, current, real power, reactive power, energy, power factor, frequency, harmonics, peak values, charge/discharge cycles. The meter provides about </t>
    </r>
    <r>
      <rPr>
        <b/>
        <sz val="11"/>
        <color theme="1"/>
        <rFont val="Aptos Narrow"/>
        <family val="2"/>
        <scheme val="minor"/>
      </rPr>
      <t>[Accuracy]</t>
    </r>
    <r>
      <rPr>
        <sz val="11"/>
        <color theme="1"/>
        <rFont val="Aptos Narrow"/>
        <family val="2"/>
        <scheme val="minor"/>
      </rPr>
      <t xml:space="preserve">% accuracy in its measurements. The measurement range for voltage is </t>
    </r>
    <r>
      <rPr>
        <b/>
        <sz val="11"/>
        <color theme="1"/>
        <rFont val="Aptos Narrow"/>
        <family val="2"/>
        <scheme val="minor"/>
      </rPr>
      <t>[VoltMin]</t>
    </r>
    <r>
      <rPr>
        <sz val="11"/>
        <color theme="1"/>
        <rFont val="Aptos Narrow"/>
        <family val="2"/>
        <scheme val="minor"/>
      </rPr>
      <t xml:space="preserve"> to </t>
    </r>
    <r>
      <rPr>
        <b/>
        <sz val="11"/>
        <color theme="1"/>
        <rFont val="Aptos Narrow"/>
        <family val="2"/>
        <scheme val="minor"/>
      </rPr>
      <t>[VoltMax]</t>
    </r>
    <r>
      <rPr>
        <sz val="11"/>
        <color theme="1"/>
        <rFont val="Aptos Narrow"/>
        <family val="2"/>
        <scheme val="minor"/>
      </rPr>
      <t xml:space="preserve">, and the range for current is </t>
    </r>
    <r>
      <rPr>
        <b/>
        <sz val="11"/>
        <color theme="1"/>
        <rFont val="Aptos Narrow"/>
        <family val="2"/>
        <scheme val="minor"/>
      </rPr>
      <t>[CurrMin]</t>
    </r>
    <r>
      <rPr>
        <sz val="11"/>
        <color theme="1"/>
        <rFont val="Aptos Narrow"/>
        <family val="2"/>
        <scheme val="minor"/>
      </rPr>
      <t xml:space="preserve"> to </t>
    </r>
    <r>
      <rPr>
        <b/>
        <sz val="11"/>
        <color theme="1"/>
        <rFont val="Aptos Narrow"/>
        <family val="2"/>
        <scheme val="minor"/>
      </rPr>
      <t>[CurrMax]</t>
    </r>
    <r>
      <rPr>
        <sz val="11"/>
        <color theme="1"/>
        <rFont val="Aptos Narrow"/>
        <family val="2"/>
        <scheme val="minor"/>
      </rPr>
      <t xml:space="preserve">. The voltage resolution is </t>
    </r>
    <r>
      <rPr>
        <b/>
        <sz val="11"/>
        <color theme="1"/>
        <rFont val="Aptos Narrow"/>
        <family val="2"/>
        <scheme val="minor"/>
      </rPr>
      <t>[Vres]</t>
    </r>
    <r>
      <rPr>
        <sz val="11"/>
        <color theme="1"/>
        <rFont val="Aptos Narrow"/>
        <family val="2"/>
        <scheme val="minor"/>
      </rPr>
      <t>, current resolution is</t>
    </r>
    <r>
      <rPr>
        <b/>
        <sz val="11"/>
        <color theme="1"/>
        <rFont val="Aptos Narrow"/>
        <family val="2"/>
        <scheme val="minor"/>
      </rPr>
      <t xml:space="preserve"> [Ares]</t>
    </r>
    <r>
      <rPr>
        <sz val="11"/>
        <color theme="1"/>
        <rFont val="Aptos Narrow"/>
        <family val="2"/>
        <scheme val="minor"/>
      </rPr>
      <t xml:space="preserve">, frequency resolution is </t>
    </r>
    <r>
      <rPr>
        <b/>
        <sz val="11"/>
        <color theme="1"/>
        <rFont val="Aptos Narrow"/>
        <family val="2"/>
        <scheme val="minor"/>
      </rPr>
      <t>[Fres]</t>
    </r>
    <r>
      <rPr>
        <sz val="11"/>
        <color theme="1"/>
        <rFont val="Aptos Narrow"/>
        <family val="2"/>
        <scheme val="minor"/>
      </rPr>
      <t xml:space="preserve">. This Battery Meter provides monitor in </t>
    </r>
    <r>
      <rPr>
        <b/>
        <sz val="11"/>
        <color theme="1"/>
        <rFont val="Aptos Narrow"/>
        <family val="2"/>
        <scheme val="minor"/>
      </rPr>
      <t>[both|in-bound|out-bound]</t>
    </r>
    <r>
      <rPr>
        <sz val="11"/>
        <color theme="1"/>
        <rFont val="Aptos Narrow"/>
        <family val="2"/>
        <scheme val="minor"/>
      </rPr>
      <t xml:space="preserve"> power flows. Local data logging can be maintained for </t>
    </r>
    <r>
      <rPr>
        <b/>
        <sz val="11"/>
        <color theme="1"/>
        <rFont val="Aptos Narrow"/>
        <family val="2"/>
        <scheme val="minor"/>
      </rPr>
      <t>[X seconds|minutes|hours|days]</t>
    </r>
    <r>
      <rPr>
        <sz val="11"/>
        <color theme="1"/>
        <rFont val="Aptos Narrow"/>
        <family val="2"/>
        <scheme val="minor"/>
      </rPr>
      <t xml:space="preserve">. A local display </t>
    </r>
    <r>
      <rPr>
        <b/>
        <sz val="11"/>
        <color theme="1"/>
        <rFont val="Aptos Narrow"/>
        <family val="2"/>
        <scheme val="minor"/>
      </rPr>
      <t>[is|is not]</t>
    </r>
    <r>
      <rPr>
        <sz val="11"/>
        <color theme="1"/>
        <rFont val="Aptos Narrow"/>
        <family val="2"/>
        <scheme val="minor"/>
      </rPr>
      <t xml:space="preserve"> available for on-site monitoring and configuration. The measurements are communicated via </t>
    </r>
    <r>
      <rPr>
        <b/>
        <sz val="11"/>
        <color theme="1"/>
        <rFont val="Aptos Narrow"/>
        <family val="2"/>
        <scheme val="minor"/>
      </rPr>
      <t>[List (TCP/IP, serial, wireless) - component]</t>
    </r>
    <r>
      <rPr>
        <sz val="11"/>
        <color theme="1"/>
        <rFont val="Aptos Narrow"/>
        <family val="2"/>
        <scheme val="minor"/>
      </rPr>
      <t xml:space="preserve"> **These are often communicated over the network provided by the Site Network Switch(s)**</t>
    </r>
  </si>
  <si>
    <r>
      <t xml:space="preserve">The primary function is to measure the direct electrical input and output of the Revenue Grade Metering for Energy Cost Decisions from the Generation Energy Source, providing real-time data on the power and energy being charged or discharged, respectively. The following parameters are communicated to other components: </t>
    </r>
    <r>
      <rPr>
        <b/>
        <sz val="11"/>
        <color theme="1"/>
        <rFont val="Aptos Narrow"/>
        <family val="2"/>
        <scheme val="minor"/>
      </rPr>
      <t>[List (component - parameters, ...)]</t>
    </r>
    <r>
      <rPr>
        <sz val="11"/>
        <color theme="1"/>
        <rFont val="Aptos Narrow"/>
        <family val="2"/>
        <scheme val="minor"/>
      </rPr>
      <t xml:space="preserve">. Examples of parameters include: voltage, current, real power, reactive power, energy, power factor, frequency, harmonics, peak values, charge/discharge cycles. The meter provides about </t>
    </r>
    <r>
      <rPr>
        <b/>
        <sz val="11"/>
        <color theme="1"/>
        <rFont val="Aptos Narrow"/>
        <family val="2"/>
        <scheme val="minor"/>
      </rPr>
      <t>[Accuracy]</t>
    </r>
    <r>
      <rPr>
        <sz val="11"/>
        <color theme="1"/>
        <rFont val="Aptos Narrow"/>
        <family val="2"/>
        <scheme val="minor"/>
      </rPr>
      <t xml:space="preserve">% accuracy in its measurements. The measurement range for voltage is </t>
    </r>
    <r>
      <rPr>
        <b/>
        <sz val="11"/>
        <color theme="1"/>
        <rFont val="Aptos Narrow"/>
        <family val="2"/>
        <scheme val="minor"/>
      </rPr>
      <t>[VoltMin]</t>
    </r>
    <r>
      <rPr>
        <sz val="11"/>
        <color theme="1"/>
        <rFont val="Aptos Narrow"/>
        <family val="2"/>
        <scheme val="minor"/>
      </rPr>
      <t xml:space="preserve"> to </t>
    </r>
    <r>
      <rPr>
        <b/>
        <sz val="11"/>
        <color theme="1"/>
        <rFont val="Aptos Narrow"/>
        <family val="2"/>
        <scheme val="minor"/>
      </rPr>
      <t>[VoltMax]</t>
    </r>
    <r>
      <rPr>
        <sz val="11"/>
        <color theme="1"/>
        <rFont val="Aptos Narrow"/>
        <family val="2"/>
        <scheme val="minor"/>
      </rPr>
      <t xml:space="preserve">, and the range for current is </t>
    </r>
    <r>
      <rPr>
        <b/>
        <sz val="11"/>
        <color theme="1"/>
        <rFont val="Aptos Narrow"/>
        <family val="2"/>
        <scheme val="minor"/>
      </rPr>
      <t>[CurrMin]</t>
    </r>
    <r>
      <rPr>
        <sz val="11"/>
        <color theme="1"/>
        <rFont val="Aptos Narrow"/>
        <family val="2"/>
        <scheme val="minor"/>
      </rPr>
      <t xml:space="preserve"> to </t>
    </r>
    <r>
      <rPr>
        <b/>
        <sz val="11"/>
        <color theme="1"/>
        <rFont val="Aptos Narrow"/>
        <family val="2"/>
        <scheme val="minor"/>
      </rPr>
      <t>[CurrMax]</t>
    </r>
    <r>
      <rPr>
        <sz val="11"/>
        <color theme="1"/>
        <rFont val="Aptos Narrow"/>
        <family val="2"/>
        <scheme val="minor"/>
      </rPr>
      <t xml:space="preserve">. The voltage resolution is </t>
    </r>
    <r>
      <rPr>
        <b/>
        <sz val="11"/>
        <color theme="1"/>
        <rFont val="Aptos Narrow"/>
        <family val="2"/>
        <scheme val="minor"/>
      </rPr>
      <t>[Vres]</t>
    </r>
    <r>
      <rPr>
        <sz val="11"/>
        <color theme="1"/>
        <rFont val="Aptos Narrow"/>
        <family val="2"/>
        <scheme val="minor"/>
      </rPr>
      <t>, current resolution is</t>
    </r>
    <r>
      <rPr>
        <b/>
        <sz val="11"/>
        <color theme="1"/>
        <rFont val="Aptos Narrow"/>
        <family val="2"/>
        <scheme val="minor"/>
      </rPr>
      <t xml:space="preserve"> [Ares]</t>
    </r>
    <r>
      <rPr>
        <sz val="11"/>
        <color theme="1"/>
        <rFont val="Aptos Narrow"/>
        <family val="2"/>
        <scheme val="minor"/>
      </rPr>
      <t xml:space="preserve">, frequency resolution is </t>
    </r>
    <r>
      <rPr>
        <b/>
        <sz val="11"/>
        <color theme="1"/>
        <rFont val="Aptos Narrow"/>
        <family val="2"/>
        <scheme val="minor"/>
      </rPr>
      <t>[Fres]</t>
    </r>
    <r>
      <rPr>
        <sz val="11"/>
        <color theme="1"/>
        <rFont val="Aptos Narrow"/>
        <family val="2"/>
        <scheme val="minor"/>
      </rPr>
      <t xml:space="preserve">. This Battery Meter provides monitor in </t>
    </r>
    <r>
      <rPr>
        <b/>
        <sz val="11"/>
        <color theme="1"/>
        <rFont val="Aptos Narrow"/>
        <family val="2"/>
        <scheme val="minor"/>
      </rPr>
      <t>[both|in-bound|out-bound]</t>
    </r>
    <r>
      <rPr>
        <sz val="11"/>
        <color theme="1"/>
        <rFont val="Aptos Narrow"/>
        <family val="2"/>
        <scheme val="minor"/>
      </rPr>
      <t xml:space="preserve"> power flows. Local data logging can be maintained for </t>
    </r>
    <r>
      <rPr>
        <b/>
        <sz val="11"/>
        <color theme="1"/>
        <rFont val="Aptos Narrow"/>
        <family val="2"/>
        <scheme val="minor"/>
      </rPr>
      <t>[X seconds|minutes|hours|days]</t>
    </r>
    <r>
      <rPr>
        <sz val="11"/>
        <color theme="1"/>
        <rFont val="Aptos Narrow"/>
        <family val="2"/>
        <scheme val="minor"/>
      </rPr>
      <t xml:space="preserve">. A local display </t>
    </r>
    <r>
      <rPr>
        <b/>
        <sz val="11"/>
        <color theme="1"/>
        <rFont val="Aptos Narrow"/>
        <family val="2"/>
        <scheme val="minor"/>
      </rPr>
      <t>[is|is not]</t>
    </r>
    <r>
      <rPr>
        <sz val="11"/>
        <color theme="1"/>
        <rFont val="Aptos Narrow"/>
        <family val="2"/>
        <scheme val="minor"/>
      </rPr>
      <t xml:space="preserve"> available for on-site monitoring and configuration. The measurements are communicated via </t>
    </r>
    <r>
      <rPr>
        <b/>
        <sz val="11"/>
        <color theme="1"/>
        <rFont val="Aptos Narrow"/>
        <family val="2"/>
        <scheme val="minor"/>
      </rPr>
      <t>[List (TCP/IP, serial, wireless) - component]</t>
    </r>
    <r>
      <rPr>
        <sz val="11"/>
        <color theme="1"/>
        <rFont val="Aptos Narrow"/>
        <family val="2"/>
        <scheme val="minor"/>
      </rPr>
      <t xml:space="preserve"> **These are often communicated over the network provided by the Site Network Switch(s)**</t>
    </r>
  </si>
  <si>
    <t>Other Energy Source Subsystem</t>
  </si>
  <si>
    <t>Configure a span port to provide packet capture from access ports servicing the BESS controller, inverters, an/or battery meter and communicate it to a network monitoring service.</t>
  </si>
  <si>
    <t>Source of Funds</t>
  </si>
  <si>
    <t>Initial Lump Sum</t>
  </si>
  <si>
    <t>Recurring</t>
  </si>
  <si>
    <t>Frequency</t>
  </si>
  <si>
    <t>Source of Funds
Estimates</t>
  </si>
  <si>
    <t>Member Contributions</t>
  </si>
  <si>
    <t>State Funding Programs</t>
  </si>
  <si>
    <t>Loans from Rural Utilities Service (RUS)</t>
  </si>
  <si>
    <t>Generation and Transmission Cooperatives (G&amp;Ts)</t>
  </si>
  <si>
    <t>Commercial Loans</t>
  </si>
  <si>
    <t>Municipal Bonds</t>
  </si>
  <si>
    <t>National Rural Utilities Cooperative Finance Corporation (CFC)</t>
  </si>
  <si>
    <t>Investments from Members</t>
  </si>
  <si>
    <t>Government Grants and Loan Guarantees</t>
  </si>
  <si>
    <t>Revenue from Operations (See Electrical Charges Below)</t>
  </si>
  <si>
    <t>Loss of Power Length</t>
  </si>
  <si>
    <t>Importance (1 [Low]-5 [High])</t>
  </si>
  <si>
    <t>5 Mins</t>
  </si>
  <si>
    <t>1 Hr</t>
  </si>
  <si>
    <t>2 Hr</t>
  </si>
  <si>
    <t>4 Hr</t>
  </si>
  <si>
    <t>24+ Hrs</t>
  </si>
  <si>
    <t>Load Impact
(Operational)</t>
  </si>
  <si>
    <t>Low</t>
  </si>
  <si>
    <t>High</t>
  </si>
  <si>
    <t>Description</t>
  </si>
  <si>
    <t>Bulk Energy System
(Grid) Impact</t>
  </si>
  <si>
    <t>Financial Loss</t>
  </si>
  <si>
    <t>Reputation
(Social, Political)</t>
  </si>
  <si>
    <t>Regulatory</t>
  </si>
  <si>
    <t>Other (Define)</t>
  </si>
  <si>
    <t>Additional Considerations</t>
  </si>
  <si>
    <t>Are there other microgrids installed at this cooperative (Saturation Considerations)?</t>
  </si>
  <si>
    <t>Load Profiles</t>
  </si>
  <si>
    <t>Load Category</t>
  </si>
  <si>
    <t>Residential</t>
  </si>
  <si>
    <t>Commercial</t>
  </si>
  <si>
    <t>Industrial</t>
  </si>
  <si>
    <t>Transportation</t>
  </si>
  <si>
    <t>Load Category Description</t>
  </si>
  <si>
    <t>Residential power loads or peak demand refer to the electricity consumption of single-family homes and multi-family housing. Residential customers use electricity for various purposes, such as space heating and cooling, lighting, water heating, and appliances and electronics. Residential electricity demand tends to be highest on hot summer afternoons and evenings, and lowest at night when most people sleep.</t>
  </si>
  <si>
    <t>Commercial power loads or peak demand refer to the electricity consumption of government civic facilities, service-providing facilities and equipment, such as healthcare, and other public and private organizations. Commercial customers use electricity mainly for lighting and heating, ventilation, and air conditioning. Commercial electricity demand tends to be highest during operating business hours, and decreases substantially on nights and weekends.</t>
  </si>
  <si>
    <t>Industrial power loads or peak demand refer to the electricity consumption of facilities and equipment, such as food processes, manufacturing, that use electricity for processing, producing, or assembling goods, such as manufacturing, mining, agriculture, and construction. Industrial customers use electricity for various purposes, such as machine drive, heating, cooling, and electro-chemical processes. Industrial electricity demand tends not to fluctuate through the day or year as much as residential and commercial demand, especially for facilities that operate around-the-clock.</t>
  </si>
  <si>
    <t>Transportation power loads refer to the battery-powered electric cars and plug-in hybrid electric vehicles, such as various types of electric cars, trucks, and buses, that store power from the grid when they charge their batteries and can potentially even feed power back into the grid when demand from other categories are high.</t>
  </si>
  <si>
    <t>Level of Criticality</t>
  </si>
  <si>
    <t>Justification of Criticality</t>
  </si>
  <si>
    <t>Electricity Charges</t>
  </si>
  <si>
    <t>Electricity Charges ($/kWh)</t>
  </si>
  <si>
    <t>Demand Charges ($/kW)</t>
  </si>
  <si>
    <t>Likely Power Factor</t>
  </si>
  <si>
    <t>~1</t>
  </si>
  <si>
    <t>Number of Customers</t>
  </si>
  <si>
    <t>Peak Demand (MW)</t>
  </si>
  <si>
    <t>Average Peak Power Per Customer (kW)</t>
  </si>
  <si>
    <t>Total (MW)</t>
  </si>
  <si>
    <t>Load Factor</t>
  </si>
  <si>
    <t>Average Monthly Energy per Customer (kWh)</t>
  </si>
  <si>
    <t>Monthly Hours (30 Days)</t>
  </si>
  <si>
    <t>Mitigation Analysis</t>
  </si>
  <si>
    <t xml:space="preserve"> types present in a Microgrid installation</t>
  </si>
  <si>
    <t>facilitated by the Microgrid installation</t>
  </si>
  <si>
    <r>
      <t xml:space="preserve">Step 1 is meant to select the applicability of a component type being present in your Microgrid Site Installation.
On the left hand side, you see a reference architecture with ID placed at all the available component types traditionally found in a common Microgrid, BESS Centric, reference architecture.
Adjacent to this reference architecture is a table mapping those ID to their respective equipment type. </t>
    </r>
    <r>
      <rPr>
        <b/>
        <sz val="11"/>
        <color theme="1"/>
        <rFont val="Aptos Narrow"/>
        <family val="2"/>
        <scheme val="minor"/>
      </rPr>
      <t>It is expected that the user adjust the Applicable column from 'Yes' to 'No' to indicate whether that specific equipment type is present in your Microgrid site installation</t>
    </r>
    <r>
      <rPr>
        <sz val="11"/>
        <color theme="1"/>
        <rFont val="Aptos Narrow"/>
        <family val="2"/>
        <scheme val="minor"/>
      </rPr>
      <t xml:space="preserve">.
Once the decisions of equipment applicability is complete, you can move to Step 2, where any equipment type that was deemed not applicable is hidden so that the experience is tailored to just applicable equipment types.
</t>
    </r>
    <r>
      <rPr>
        <b/>
        <sz val="11"/>
        <color theme="1"/>
        <rFont val="Aptos Narrow"/>
        <family val="2"/>
        <scheme val="minor"/>
      </rPr>
      <t>NOTE:</t>
    </r>
    <r>
      <rPr>
        <sz val="11"/>
        <color theme="1"/>
        <rFont val="Aptos Narrow"/>
        <family val="2"/>
        <scheme val="minor"/>
      </rPr>
      <t xml:space="preserve"> On each equipment in column O within the subsystems, if you hover over the name you are able to see a note that contains additional information for understanding the intention of that equipment type.</t>
    </r>
  </si>
  <si>
    <t>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t>
  </si>
  <si>
    <t>Step 5 is meant to identify CIE and cyber mitigation opportunities for the Microgrid system.
Using the framing from the engineering and cybersecurity analysis against a certain equipment or collection of equipment provides the characteristics to analyze for possible mitigations, called mitigation analysis. A set of questions from CIE Implementation guidance are provided in the mitigation analysis column to spur on how one might think about the mitigation from the engineering and cyber analysis.
Once a mitigation opportunity is expressed, this analysis will be brought forward to the next Step 5 sheet where you can check against provided mitigation opportunities to see if there is any additional use of CIE and cyber mitigations. 
THE CIE QUESTIONS SOUGHT TO BE ANSWERED HERE ARE:
Are analog or physical protections engineered into the system (where possible) for each high consequence event identified?
How dependent are the system’s engineered controls on digital technologies?
What are the minimum functional capabilities needed? In concept, is there anything that is likely to be implemented via digital means that is not explicitly needed?
Which digital features in a system have the potential to cause critical consequences from unexpected operation or attack, and how can those features be identified during development, procurement, and integration?</t>
  </si>
  <si>
    <t>Services Mitigation Analysis</t>
  </si>
  <si>
    <t>Step 5 is meant to identify CIE and cyber mitigation opportunities for the Microgrid system.
Using the framing from the mitigation analysis against a certain equipment or collection of equipment provides the characteristics to search for additional potential mitigation opportunities.
The filtering mechanism on the top row allows the user to select like the Mitigation Name column and search for keywords to see if an opportunity has been described. Similar actions can be taken for the other columns to best filter down to a specific or set of specific mitigations that contribute to the analysis and seeking methods to achieve impact reduction.
Once a mitigation is identified and the decision to include it is made, the user would select 'Yes' in Column M to indicate its selection. 
Once mitigation select is complete, the user can filter for only those mitigations that are selected to see the full collection of mitigations that help address the unaccepted impact present in the system. This is important because in this digital age, attacks on Operational Technology Infrastructure are increasing and usually have a life safety or operational impact that is critical to society.</t>
  </si>
  <si>
    <t>Please email cie@inl.gov for any questions or comments in regard to this CIEMAT tool.</t>
  </si>
  <si>
    <t>Install Analog capacitor banks that can be switched in or out of the system to correct power factor fluctuations. Consider providing the switching outside of digital methods.</t>
  </si>
  <si>
    <r>
      <t xml:space="preserve">Step 2 is meant to select the grid service that the Microgrid system meant to provide. You can see this grid service(s) as your critical function.
Across the top in row 3 has the drop-downs to decide whether that specific service is an intended mode of operation for your Microgrid system. </t>
    </r>
    <r>
      <rPr>
        <b/>
        <sz val="11"/>
        <color theme="1"/>
        <rFont val="Aptos Narrow"/>
        <family val="2"/>
        <scheme val="minor"/>
      </rPr>
      <t>Please select 'Yes' or keep 'No' for each of the services listed.</t>
    </r>
    <r>
      <rPr>
        <sz val="11"/>
        <color theme="1"/>
        <rFont val="Aptos Narrow"/>
        <family val="2"/>
        <scheme val="minor"/>
      </rPr>
      <t xml:space="preserve">
Upon selecting a service as applicable with a 'Yes', the rows below that service in line with the various equipment types from Step 1 are opened up with checkboxes. It is expected that the </t>
    </r>
    <r>
      <rPr>
        <b/>
        <sz val="11"/>
        <color theme="1"/>
        <rFont val="Aptos Narrow"/>
        <family val="2"/>
        <scheme val="minor"/>
      </rPr>
      <t>user will select if that piece of equipment participates in the delivery of that service</t>
    </r>
    <r>
      <rPr>
        <sz val="11"/>
        <color theme="1"/>
        <rFont val="Aptos Narrow"/>
        <family val="2"/>
        <scheme val="minor"/>
      </rPr>
      <t xml:space="preserve">. This provides an area of effect for that service where in the next step, it will be documented HOW that specific equipment contributes to the applicable service.
See note above to select multiple pieces of equipment at once if needed. Once all the applicable services are selected and all the equipment for an applicable service is also selected, proceed to Step 2b.
</t>
    </r>
    <r>
      <rPr>
        <b/>
        <sz val="11"/>
        <color theme="1"/>
        <rFont val="Aptos Narrow"/>
        <family val="2"/>
        <scheme val="minor"/>
      </rPr>
      <t>NOTE:</t>
    </r>
    <r>
      <rPr>
        <sz val="11"/>
        <color theme="1"/>
        <rFont val="Aptos Narrow"/>
        <family val="2"/>
        <scheme val="minor"/>
      </rPr>
      <t xml:space="preserve"> On each service in row 2, if you hover over the name you are able to see a note that contains additional information for understanding the intention of that grid service.
THE CIE QUESTIONS SOUGHT TO BE ANSWERED HERE ARE:
What are the mission-critical functions this system is required to perform?
What areas of the system design are most linked to high impact consequences?</t>
    </r>
  </si>
  <si>
    <t>Step 2b is meant to describe how an applicable piece of equipment contributes (i.e. enabling functions) to the delivery of the applicable grid service.
Within each piece of equipment under each available service is a set of default description of the primary function delivered by the equipment. Within that description is bolded entries where specifics can be placed in for your specific Microgrid installation and equipment specifics. This description is carried forward into subsequent steps for analysis.
Furthermore, there is no expectation that you must keep the default text describing the enabling functions provided by the equipment in delivering this service. Feel free to replace, add, modify any descriptions to better reflect the functions and the characteristics of those functions that are useful for understanding the important engineering, interdependency (CIE Principle 7) and digital functions (CIE Principle 8) provided by a specific equipment.
Once the descriptions of functions provided by the equipment are complete, proceed to Step 3.
THE CIE QUESTIONS SOUGHT TO BE ANSWERED HERE ARE:
What parts of the design will contain digital components or subcomponents?
What fundamental physics or energy sources, such as voltage, pressure, heat, and potential energy, will be involved in this system?
For each of the process steps, what are the core inputs, outputs, mechanisms (people, tools, systems) and controls (safety standards, regulations, requirements)? How do the various subsystems communicate with each other? 
What are the expected system states?
How are components linked to others? What network interdependencies exist and how/where are they clearly mapped?
How are digital assets used to meet system requirements?
How is the system designed to perform each of its critical functions?</t>
  </si>
  <si>
    <r>
      <rPr>
        <b/>
        <sz val="11"/>
        <color theme="1"/>
        <rFont val="Aptos Narrow"/>
        <family val="2"/>
        <scheme val="minor"/>
      </rPr>
      <t>NOTICE:</t>
    </r>
    <r>
      <rPr>
        <sz val="11"/>
        <color theme="1"/>
        <rFont val="Aptos Narrow"/>
        <family val="2"/>
        <scheme val="minor"/>
      </rPr>
      <t>  This computer software was prepared by Battelle Energy</t>
    </r>
  </si>
  <si>
    <t>Alliance, LLC, hereinafter the Contractor, under Contract</t>
  </si>
  <si>
    <t>No. AC07-05ID14517 with the United States (U. S.) Department of</t>
  </si>
  <si>
    <t>Energy (DOE).  The Government is granted for itself and others acting on</t>
  </si>
  <si>
    <t>its behalf a nonexclusive, paid-up, irrevocable worldwide license in this</t>
  </si>
  <si>
    <t>data to reproduce, prepare derivative works, and perform publicly and</t>
  </si>
  <si>
    <t>display publicly, by or on behalf of the Government. There is provision for</t>
  </si>
  <si>
    <t>the possible extension of the term of this license. Subsequent to that</t>
  </si>
  <si>
    <t>period or any extension granted, the Government is granted for itself and</t>
  </si>
  <si>
    <t>others acting on its behalf a nonexclusive, paid-up, irrevocable worldwide</t>
  </si>
  <si>
    <t>license in this data to reproduce, prepare derivative works, distribute</t>
  </si>
  <si>
    <t>copies to the public, perform publicly and display publicly, and to permit</t>
  </si>
  <si>
    <t>others to do so.  The specific term of the license can be identified by</t>
  </si>
  <si>
    <t>inquiry made to Contractor or DOE.  NEITHER THE UNITED STATES NOR THE UNITED</t>
  </si>
  <si>
    <t>STATES DEPARTMENT OF ENERGY, NOR CONTRACTOR MAKES ANY WARRANTY, EXPRESS OR</t>
  </si>
  <si>
    <t>IMPLIED, OR ASSUMES ANY LIABILITY OR RESPONSIBILITY FOR THE USE, ACCURACY,</t>
  </si>
  <si>
    <t>COMPLETENESS, OR USEFULNESS OR ANY INFORMATION, APPARATUS, PRODUCT, OR</t>
  </si>
  <si>
    <t>PROCESS DISCLOSED, OR REPRESENTS THAT ITS USE WOULD NOT INFRINGE PRIVATELY</t>
  </si>
  <si>
    <t>OWNED RIGHTS.</t>
  </si>
  <si>
    <t>Install voltage, current, and/or temperature monitoring on the neutral wire to detect phase imbalance (in 3-phase installations) with the intention of confirming commands or signatures of sabotage activities.</t>
  </si>
  <si>
    <t>Implement an analog circuit that matches the expected dynamics of Freq-Watt curve in the system. These circuits continuously monitor the changes in charge or discharge amounts to provide confirmation of expected actions in support of frequency response.</t>
  </si>
  <si>
    <t>Implement an analog circuit that matches the expected dynamics of Volt-Var curve in the system. These circuits continuously monitor the changes in VAR injection or absorption to provide confirmation of expected actions in support of voltage support.</t>
  </si>
  <si>
    <t>Where multiple inverters are combined to match the power ratings necessary for the installation, implement a circuit that detects the status of the inverter and provides a visual indication on the container (i.e. status light) for quick visual inspection.</t>
  </si>
  <si>
    <t>Implement an kVA level detection circuit on the AC bus to energize a set of cascaded mechanical timers set to a time windows determined by operator. This circuit detects when overload conditions occur and held for the length of time allowed as well as the preceding minimum of time expected operated at rated power. This provides alarming and command action to either safely shutdown BESS or confirm the lack of overload state in the system.</t>
  </si>
  <si>
    <t>Implement analog filters to detect presence of current harmonic distortion and provide alarming indication or command action from this detection circuit.</t>
  </si>
  <si>
    <t>Implement an analog voltage and timer circuit to measure for the presence of Voltage Ride-through (VRT) events to provide alarming indication to confirm or deny its presence.</t>
  </si>
  <si>
    <t>Implement a rate limit check circuit to confirm or deny the reactive power ramp limits configured for the inverter to provide alarming indication against the digital reactive power ramp limits.</t>
  </si>
  <si>
    <t>Use external sensor/circuitry checks in place of or in combination with any heartbeat requirements when determining power commands.</t>
  </si>
  <si>
    <t>Implement an analog circuit that tests for the conditions required for grid reconnection decision and use the circuit to provide an AND logic with the controller command used by the inverter to connect.</t>
  </si>
  <si>
    <t>Implement a threshold circuit that detects the rate of change of frequency (ROCOF) and provides alarming command when a designed threshold is met for other decisions that use an increase of ROCOF behavior as its basis for command.</t>
  </si>
  <si>
    <t>Implement command validation filter techniques with analog circuitry where commands from the BESS Controller provides control actions when adjusting state in the power electronic circuits.</t>
  </si>
  <si>
    <t>Implement monitoring rules for controller to inverter commands (such as droop profile characteristics) in monitoring platform that focus on indications or precursor events to abnormal behaviors indicative of digital failure or sabotage activities.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</si>
</sst>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2">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b/>
      <sz val="10"/>
      <color theme="1"/>
      <name val="Aptos Narrow"/>
      <family val="2"/>
      <scheme val="minor"/>
    </font>
    <font>
      <b/>
      <sz val="8"/>
      <color theme="1"/>
      <name val="Aptos Narrow"/>
      <family val="2"/>
      <scheme val="minor"/>
    </font>
    <font>
      <b/>
      <i/>
      <sz val="11"/>
      <color theme="1"/>
      <name val="Aptos Narrow"/>
      <family val="2"/>
      <scheme val="minor"/>
    </font>
    <font>
      <b/>
      <i/>
      <sz val="11"/>
      <color theme="0"/>
      <name val="Aptos Narrow"/>
      <family val="2"/>
      <scheme val="minor"/>
    </font>
    <font>
      <sz val="10"/>
      <color theme="1"/>
      <name val="Aptos Narrow"/>
      <family val="2"/>
      <scheme val="minor"/>
    </font>
    <font>
      <b/>
      <sz val="16"/>
      <color theme="1"/>
      <name val="Aptos Narrow"/>
      <family val="2"/>
      <scheme val="minor"/>
    </font>
    <font>
      <sz val="9"/>
      <color theme="1"/>
      <name val="Aptos Narrow"/>
      <family val="2"/>
      <scheme val="minor"/>
    </font>
    <font>
      <sz val="9"/>
      <color indexed="81"/>
      <name val="Tahoma"/>
      <family val="2"/>
    </font>
    <font>
      <b/>
      <sz val="9"/>
      <color indexed="81"/>
      <name val="Tahoma"/>
      <family val="2"/>
    </font>
    <font>
      <sz val="11"/>
      <name val="Aptos Narrow"/>
      <family val="2"/>
      <scheme val="minor"/>
    </font>
    <font>
      <sz val="11"/>
      <name val="Var(--fontFamilyBase)"/>
    </font>
    <font>
      <sz val="11"/>
      <name val="Aptos Narrow"/>
      <family val="2"/>
      <scheme val="minor"/>
    </font>
    <font>
      <sz val="11"/>
      <name val="Segoe UI"/>
      <family val="2"/>
    </font>
    <font>
      <sz val="12"/>
      <name val="Segoe UI"/>
      <family val="2"/>
    </font>
    <font>
      <sz val="11"/>
      <name val="Segoe UI"/>
      <family val="2"/>
    </font>
    <font>
      <b/>
      <i/>
      <sz val="9"/>
      <color theme="0"/>
      <name val="Aptos Narrow"/>
      <family val="2"/>
      <scheme val="minor"/>
    </font>
    <font>
      <i/>
      <sz val="11"/>
      <color theme="1"/>
      <name val="Aptos Narrow"/>
      <family val="2"/>
      <scheme val="minor"/>
    </font>
    <font>
      <sz val="11"/>
      <color theme="1"/>
      <name val="Aptos Narrow"/>
      <family val="2"/>
      <scheme val="minor"/>
    </font>
    <font>
      <b/>
      <sz val="11"/>
      <name val="Aptos Narrow"/>
      <family val="2"/>
      <scheme val="minor"/>
    </font>
    <font>
      <b/>
      <sz val="10"/>
      <name val="Aptos Narrow"/>
      <family val="2"/>
      <scheme val="minor"/>
    </font>
    <font>
      <sz val="9"/>
      <name val="Aptos Narrow"/>
      <family val="2"/>
      <scheme val="minor"/>
    </font>
    <font>
      <b/>
      <sz val="9"/>
      <color theme="1"/>
      <name val="Aptos Narrow"/>
      <family val="2"/>
      <scheme val="minor"/>
    </font>
    <font>
      <b/>
      <sz val="8"/>
      <name val="Aptos Narrow"/>
      <family val="2"/>
      <scheme val="minor"/>
    </font>
    <font>
      <b/>
      <i/>
      <sz val="11"/>
      <name val="Aptos Narrow"/>
      <family val="2"/>
      <scheme val="minor"/>
    </font>
    <font>
      <b/>
      <i/>
      <sz val="9"/>
      <name val="Aptos Narrow"/>
      <family val="2"/>
      <scheme val="minor"/>
    </font>
    <font>
      <b/>
      <sz val="14"/>
      <color theme="1"/>
      <name val="Aptos Narrow"/>
      <family val="2"/>
      <scheme val="minor"/>
    </font>
    <font>
      <sz val="9"/>
      <color indexed="81"/>
      <name val="Tahoma"/>
      <charset val="1"/>
    </font>
    <font>
      <b/>
      <sz val="9"/>
      <color indexed="81"/>
      <name val="Tahoma"/>
      <charset val="1"/>
    </font>
  </fonts>
  <fills count="11">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theme="3" tint="0.499984740745262"/>
        <bgColor indexed="64"/>
      </patternFill>
    </fill>
    <fill>
      <patternFill patternType="solid">
        <fgColor rgb="FF92D050"/>
        <bgColor indexed="64"/>
      </patternFill>
    </fill>
    <fill>
      <patternFill patternType="solid">
        <fgColor rgb="FFFFFF00"/>
        <bgColor indexed="64"/>
      </patternFill>
    </fill>
    <fill>
      <patternFill patternType="solid">
        <fgColor rgb="FFFFC000"/>
        <bgColor indexed="64"/>
      </patternFill>
    </fill>
    <fill>
      <patternFill patternType="solid">
        <fgColor rgb="FFFFFFFF"/>
        <bgColor indexed="64"/>
      </patternFill>
    </fill>
    <fill>
      <patternFill patternType="solid">
        <fgColor theme="0" tint="-0.34998626667073579"/>
        <bgColor indexed="64"/>
      </patternFill>
    </fill>
  </fills>
  <borders count="80">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right style="medium">
        <color indexed="64"/>
      </right>
      <top/>
      <bottom/>
      <diagonal/>
    </border>
    <border>
      <left/>
      <right/>
      <top style="medium">
        <color indexed="64"/>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style="medium">
        <color indexed="64"/>
      </left>
      <right/>
      <top style="thin">
        <color indexed="64"/>
      </top>
      <bottom style="thin">
        <color indexed="64"/>
      </bottom>
      <diagonal/>
    </border>
    <border>
      <left/>
      <right/>
      <top style="medium">
        <color indexed="64"/>
      </top>
      <bottom/>
      <diagonal/>
    </border>
    <border>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diagonal/>
    </border>
    <border>
      <left style="thin">
        <color indexed="64"/>
      </left>
      <right/>
      <top style="thin">
        <color indexed="64"/>
      </top>
      <bottom style="medium">
        <color indexed="64"/>
      </bottom>
      <diagonal/>
    </border>
    <border>
      <left style="thin">
        <color indexed="64"/>
      </left>
      <right/>
      <top style="medium">
        <color indexed="64"/>
      </top>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medium">
        <color indexed="64"/>
      </right>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right style="medium">
        <color indexed="64"/>
      </right>
      <top style="thin">
        <color indexed="64"/>
      </top>
      <bottom/>
      <diagonal/>
    </border>
    <border>
      <left/>
      <right/>
      <top style="thin">
        <color indexed="64"/>
      </top>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top/>
      <bottom style="thin">
        <color indexed="64"/>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s>
  <cellStyleXfs count="2">
    <xf numFmtId="0" fontId="0" fillId="0" borderId="0"/>
    <xf numFmtId="9" fontId="21" fillId="0" borderId="0" applyFont="0" applyFill="0" applyBorder="0" applyAlignment="0" applyProtection="0"/>
  </cellStyleXfs>
  <cellXfs count="491">
    <xf numFmtId="0" fontId="0" fillId="0" borderId="0" xfId="0"/>
    <xf numFmtId="0" fontId="0" fillId="2" borderId="0" xfId="0" applyFill="1"/>
    <xf numFmtId="0" fontId="2" fillId="2" borderId="2" xfId="0" applyFont="1" applyFill="1" applyBorder="1" applyAlignment="1">
      <alignment horizontal="center" vertical="center" wrapText="1"/>
    </xf>
    <xf numFmtId="0" fontId="0" fillId="2" borderId="12" xfId="0" applyFill="1" applyBorder="1" applyAlignment="1">
      <alignment horizontal="right" vertical="center"/>
    </xf>
    <xf numFmtId="0" fontId="0" fillId="2" borderId="7" xfId="0" applyFill="1" applyBorder="1" applyAlignment="1">
      <alignment horizontal="right" vertical="center"/>
    </xf>
    <xf numFmtId="0" fontId="0" fillId="2" borderId="15" xfId="0" applyFill="1" applyBorder="1" applyAlignment="1">
      <alignment horizontal="right" vertical="center"/>
    </xf>
    <xf numFmtId="0" fontId="0" fillId="2" borderId="17" xfId="0" applyFill="1" applyBorder="1" applyAlignment="1">
      <alignment horizontal="right" vertical="center"/>
    </xf>
    <xf numFmtId="0" fontId="0" fillId="2" borderId="24" xfId="0" applyFill="1" applyBorder="1" applyAlignment="1">
      <alignment horizontal="right" vertical="center"/>
    </xf>
    <xf numFmtId="0" fontId="2" fillId="2" borderId="0" xfId="0" applyFont="1" applyFill="1" applyAlignment="1">
      <alignment horizontal="center"/>
    </xf>
    <xf numFmtId="0" fontId="2" fillId="2" borderId="39" xfId="0" applyFont="1" applyFill="1" applyBorder="1"/>
    <xf numFmtId="0" fontId="2" fillId="2" borderId="7" xfId="0" applyFont="1" applyFill="1" applyBorder="1" applyAlignment="1">
      <alignment horizontal="center" vertical="center" wrapText="1"/>
    </xf>
    <xf numFmtId="0" fontId="2" fillId="2" borderId="40" xfId="0" applyFont="1" applyFill="1" applyBorder="1"/>
    <xf numFmtId="0" fontId="2" fillId="2" borderId="41" xfId="0" applyFont="1" applyFill="1" applyBorder="1"/>
    <xf numFmtId="0" fontId="2" fillId="2" borderId="42" xfId="0" applyFont="1" applyFill="1" applyBorder="1"/>
    <xf numFmtId="0" fontId="2" fillId="2" borderId="12"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7" xfId="0" applyFont="1" applyFill="1" applyBorder="1" applyAlignment="1">
      <alignment horizontal="center" vertical="center" wrapText="1"/>
    </xf>
    <xf numFmtId="0" fontId="0" fillId="2" borderId="0" xfId="0" applyFill="1" applyAlignment="1">
      <alignment wrapText="1"/>
    </xf>
    <xf numFmtId="0" fontId="0" fillId="2" borderId="12" xfId="0" applyFill="1" applyBorder="1" applyAlignment="1">
      <alignment horizontal="center" vertical="center"/>
      <extLst>
        <ext xmlns:xfpb="http://schemas.microsoft.com/office/spreadsheetml/2022/featurepropertybag" uri="{C7286773-470A-42A8-94C5-96B5CB345126}">
          <xfpb:xfComplement i="0"/>
        </ext>
      </extLst>
    </xf>
    <xf numFmtId="0" fontId="0" fillId="2" borderId="29" xfId="0" applyFill="1" applyBorder="1" applyAlignment="1">
      <alignment horizontal="center" vertical="center"/>
      <extLst>
        <ext xmlns:xfpb="http://schemas.microsoft.com/office/spreadsheetml/2022/featurepropertybag" uri="{C7286773-470A-42A8-94C5-96B5CB345126}">
          <xfpb:xfComplement i="0"/>
        </ext>
      </extLst>
    </xf>
    <xf numFmtId="0" fontId="0" fillId="2" borderId="43" xfId="0" applyFill="1" applyBorder="1" applyAlignment="1">
      <alignment horizontal="center" vertical="center"/>
      <extLst>
        <ext xmlns:xfpb="http://schemas.microsoft.com/office/spreadsheetml/2022/featurepropertybag" uri="{C7286773-470A-42A8-94C5-96B5CB345126}">
          <xfpb:xfComplement i="0"/>
        </ext>
      </extLst>
    </xf>
    <xf numFmtId="0" fontId="0" fillId="2" borderId="7" xfId="0" applyFill="1" applyBorder="1" applyAlignment="1">
      <alignment horizontal="center" vertical="center"/>
      <extLst>
        <ext xmlns:xfpb="http://schemas.microsoft.com/office/spreadsheetml/2022/featurepropertybag" uri="{C7286773-470A-42A8-94C5-96B5CB345126}">
          <xfpb:xfComplement i="0"/>
        </ext>
      </extLst>
    </xf>
    <xf numFmtId="0" fontId="0" fillId="2" borderId="1" xfId="0" applyFill="1" applyBorder="1" applyAlignment="1">
      <alignment horizontal="center" vertical="center"/>
      <extLst>
        <ext xmlns:xfpb="http://schemas.microsoft.com/office/spreadsheetml/2022/featurepropertybag" uri="{C7286773-470A-42A8-94C5-96B5CB345126}">
          <xfpb:xfComplement i="0"/>
        </ext>
      </extLst>
    </xf>
    <xf numFmtId="0" fontId="0" fillId="2" borderId="44" xfId="0" applyFill="1" applyBorder="1" applyAlignment="1">
      <alignment horizontal="center" vertical="center"/>
      <extLst>
        <ext xmlns:xfpb="http://schemas.microsoft.com/office/spreadsheetml/2022/featurepropertybag" uri="{C7286773-470A-42A8-94C5-96B5CB345126}">
          <xfpb:xfComplement i="0"/>
        </ext>
      </extLst>
    </xf>
    <xf numFmtId="0" fontId="0" fillId="2" borderId="15" xfId="0" applyFill="1" applyBorder="1" applyAlignment="1">
      <alignment horizontal="center" vertical="center"/>
      <extLst>
        <ext xmlns:xfpb="http://schemas.microsoft.com/office/spreadsheetml/2022/featurepropertybag" uri="{C7286773-470A-42A8-94C5-96B5CB345126}">
          <xfpb:xfComplement i="0"/>
        </ext>
      </extLst>
    </xf>
    <xf numFmtId="0" fontId="0" fillId="2" borderId="48" xfId="0" applyFill="1" applyBorder="1" applyAlignment="1">
      <alignment horizontal="center" vertical="center"/>
      <extLst>
        <ext xmlns:xfpb="http://schemas.microsoft.com/office/spreadsheetml/2022/featurepropertybag" uri="{C7286773-470A-42A8-94C5-96B5CB345126}">
          <xfpb:xfComplement i="0"/>
        </ext>
      </extLst>
    </xf>
    <xf numFmtId="0" fontId="0" fillId="2" borderId="50" xfId="0" applyFill="1" applyBorder="1" applyAlignment="1">
      <alignment horizontal="center" vertical="center"/>
      <extLst>
        <ext xmlns:xfpb="http://schemas.microsoft.com/office/spreadsheetml/2022/featurepropertybag" uri="{C7286773-470A-42A8-94C5-96B5CB345126}">
          <xfpb:xfComplement i="0"/>
        </ext>
      </extLst>
    </xf>
    <xf numFmtId="0" fontId="6" fillId="2" borderId="33" xfId="0" applyFont="1" applyFill="1" applyBorder="1" applyAlignment="1">
      <alignment horizontal="center" vertical="center" wrapText="1"/>
    </xf>
    <xf numFmtId="0" fontId="6" fillId="2" borderId="18" xfId="0" applyFont="1" applyFill="1" applyBorder="1" applyAlignment="1">
      <alignment horizontal="center" vertical="center" wrapText="1"/>
    </xf>
    <xf numFmtId="0" fontId="6" fillId="2" borderId="20" xfId="0" applyFont="1" applyFill="1" applyBorder="1" applyAlignment="1">
      <alignment horizontal="center" vertical="center" wrapText="1"/>
    </xf>
    <xf numFmtId="0" fontId="0" fillId="2" borderId="13" xfId="0" applyFill="1" applyBorder="1" applyAlignment="1">
      <alignment horizontal="center"/>
    </xf>
    <xf numFmtId="0" fontId="0" fillId="2" borderId="14" xfId="0" applyFill="1" applyBorder="1" applyAlignment="1">
      <alignment horizontal="center"/>
    </xf>
    <xf numFmtId="0" fontId="0" fillId="2" borderId="16" xfId="0" applyFill="1" applyBorder="1" applyAlignment="1">
      <alignment horizontal="center"/>
    </xf>
    <xf numFmtId="0" fontId="0" fillId="2" borderId="25" xfId="0" applyFill="1" applyBorder="1" applyAlignment="1">
      <alignment horizontal="center"/>
    </xf>
    <xf numFmtId="0" fontId="4" fillId="2" borderId="0" xfId="0" applyFont="1" applyFill="1" applyAlignment="1">
      <alignment wrapText="1"/>
    </xf>
    <xf numFmtId="0" fontId="2" fillId="2" borderId="0" xfId="0" applyFont="1" applyFill="1" applyAlignment="1">
      <alignment wrapText="1"/>
    </xf>
    <xf numFmtId="0" fontId="2" fillId="2" borderId="0" xfId="0" applyFont="1" applyFill="1" applyAlignment="1">
      <alignment vertical="center" wrapText="1"/>
    </xf>
    <xf numFmtId="0" fontId="5" fillId="2" borderId="0" xfId="0" applyFont="1" applyFill="1" applyAlignment="1">
      <alignment horizontal="center" vertical="center" wrapText="1"/>
    </xf>
    <xf numFmtId="0" fontId="0" fillId="4" borderId="22" xfId="0" applyFill="1" applyBorder="1"/>
    <xf numFmtId="0" fontId="0" fillId="4" borderId="38" xfId="0" applyFill="1" applyBorder="1"/>
    <xf numFmtId="0" fontId="0" fillId="4" borderId="23" xfId="0" applyFill="1" applyBorder="1"/>
    <xf numFmtId="0" fontId="0" fillId="4" borderId="0" xfId="0" applyFill="1"/>
    <xf numFmtId="0" fontId="4" fillId="2" borderId="4" xfId="0" applyFont="1" applyFill="1" applyBorder="1" applyAlignment="1">
      <alignment horizontal="center" vertical="center" textRotation="90" wrapText="1"/>
    </xf>
    <xf numFmtId="0" fontId="0" fillId="2" borderId="1" xfId="0" applyFill="1" applyBorder="1" applyAlignment="1">
      <alignment horizontal="center" vertical="center" wrapText="1"/>
      <extLst>
        <ext xmlns:xfpb="http://schemas.microsoft.com/office/spreadsheetml/2022/featurepropertybag" uri="{C7286773-470A-42A8-94C5-96B5CB345126}">
          <xfpb:xfComplement i="0"/>
        </ext>
      </extLst>
    </xf>
    <xf numFmtId="0" fontId="0" fillId="2" borderId="44" xfId="0" applyFill="1" applyBorder="1" applyAlignment="1">
      <alignment horizontal="center" vertical="center" wrapText="1"/>
      <extLst>
        <ext xmlns:xfpb="http://schemas.microsoft.com/office/spreadsheetml/2022/featurepropertybag" uri="{C7286773-470A-42A8-94C5-96B5CB345126}">
          <xfpb:xfComplement i="0"/>
        </ext>
      </extLst>
    </xf>
    <xf numFmtId="0" fontId="0" fillId="2" borderId="3" xfId="0" applyFill="1" applyBorder="1" applyAlignment="1">
      <alignment horizontal="center" vertical="center"/>
      <extLst>
        <ext xmlns:xfpb="http://schemas.microsoft.com/office/spreadsheetml/2022/featurepropertybag" uri="{C7286773-470A-42A8-94C5-96B5CB345126}">
          <xfpb:xfComplement i="0"/>
        </ext>
      </extLst>
    </xf>
    <xf numFmtId="0" fontId="0" fillId="2" borderId="5" xfId="0" applyFill="1" applyBorder="1" applyAlignment="1">
      <alignment horizontal="center" vertical="center"/>
      <extLst>
        <ext xmlns:xfpb="http://schemas.microsoft.com/office/spreadsheetml/2022/featurepropertybag" uri="{C7286773-470A-42A8-94C5-96B5CB345126}">
          <xfpb:xfComplement i="0"/>
        </ext>
      </extLst>
    </xf>
    <xf numFmtId="0" fontId="0" fillId="2" borderId="41" xfId="0" applyFill="1" applyBorder="1" applyAlignment="1">
      <alignment horizontal="center" vertical="center"/>
    </xf>
    <xf numFmtId="0" fontId="6" fillId="2" borderId="36" xfId="0" applyFont="1" applyFill="1" applyBorder="1" applyAlignment="1">
      <alignment horizontal="center" vertical="center" wrapText="1"/>
    </xf>
    <xf numFmtId="0" fontId="8" fillId="2" borderId="8" xfId="0" applyFont="1" applyFill="1" applyBorder="1" applyAlignment="1">
      <alignment horizontal="center" vertical="center" wrapText="1"/>
    </xf>
    <xf numFmtId="0" fontId="8" fillId="2" borderId="9" xfId="0" applyFont="1" applyFill="1" applyBorder="1" applyAlignment="1">
      <alignment horizontal="center" vertical="center" wrapText="1"/>
    </xf>
    <xf numFmtId="0" fontId="8" fillId="2" borderId="10" xfId="0" applyFont="1" applyFill="1" applyBorder="1" applyAlignment="1">
      <alignment horizontal="center" vertical="center" wrapText="1"/>
    </xf>
    <xf numFmtId="0" fontId="8" fillId="2" borderId="11" xfId="0" applyFont="1" applyFill="1" applyBorder="1" applyAlignment="1">
      <alignment horizontal="center" vertical="center" wrapText="1"/>
    </xf>
    <xf numFmtId="0" fontId="8" fillId="2" borderId="19" xfId="0" applyFont="1" applyFill="1" applyBorder="1" applyAlignment="1">
      <alignment horizontal="center" vertical="center" wrapText="1"/>
    </xf>
    <xf numFmtId="0" fontId="8" fillId="2" borderId="2" xfId="0" applyFont="1" applyFill="1" applyBorder="1" applyAlignment="1">
      <alignment horizontal="center" vertical="center" wrapText="1"/>
    </xf>
    <xf numFmtId="0" fontId="2" fillId="2" borderId="0" xfId="0" applyFont="1" applyFill="1" applyAlignment="1">
      <alignment horizontal="right" vertical="center"/>
    </xf>
    <xf numFmtId="0" fontId="2" fillId="2" borderId="0" xfId="0" applyFont="1" applyFill="1" applyAlignment="1">
      <alignment vertical="center"/>
    </xf>
    <xf numFmtId="0" fontId="8" fillId="2" borderId="0" xfId="0" applyFont="1" applyFill="1" applyAlignment="1">
      <alignment horizontal="center" vertical="center" wrapText="1"/>
    </xf>
    <xf numFmtId="0" fontId="0" fillId="2" borderId="6" xfId="0" applyFill="1" applyBorder="1" applyAlignment="1">
      <alignment horizontal="center" vertical="center"/>
    </xf>
    <xf numFmtId="0" fontId="0" fillId="2" borderId="29" xfId="0" applyFill="1" applyBorder="1" applyAlignment="1">
      <alignment horizontal="right" vertical="center"/>
    </xf>
    <xf numFmtId="0" fontId="0" fillId="2" borderId="1" xfId="0" applyFill="1" applyBorder="1" applyAlignment="1">
      <alignment horizontal="right" vertical="center"/>
    </xf>
    <xf numFmtId="0" fontId="0" fillId="2" borderId="48" xfId="0" applyFill="1" applyBorder="1" applyAlignment="1">
      <alignment horizontal="right" vertical="center"/>
    </xf>
    <xf numFmtId="0" fontId="0" fillId="2" borderId="3" xfId="0" applyFill="1" applyBorder="1" applyAlignment="1">
      <alignment horizontal="right" vertical="center"/>
    </xf>
    <xf numFmtId="0" fontId="0" fillId="2" borderId="5" xfId="0" applyFill="1" applyBorder="1" applyAlignment="1">
      <alignment horizontal="right" vertical="center"/>
    </xf>
    <xf numFmtId="0" fontId="0" fillId="2" borderId="43" xfId="0" applyFill="1" applyBorder="1" applyAlignment="1">
      <alignment horizontal="right" vertical="center"/>
    </xf>
    <xf numFmtId="0" fontId="0" fillId="2" borderId="44" xfId="0" applyFill="1" applyBorder="1" applyAlignment="1">
      <alignment horizontal="right" vertical="center"/>
    </xf>
    <xf numFmtId="0" fontId="0" fillId="2" borderId="50" xfId="0" applyFill="1" applyBorder="1" applyAlignment="1">
      <alignment horizontal="right" vertical="center"/>
    </xf>
    <xf numFmtId="0" fontId="2" fillId="2" borderId="0" xfId="0" applyFont="1" applyFill="1"/>
    <xf numFmtId="0" fontId="9" fillId="2" borderId="0" xfId="0" applyFont="1" applyFill="1"/>
    <xf numFmtId="0" fontId="0" fillId="2" borderId="0" xfId="0" applyFill="1" applyAlignment="1">
      <alignment horizontal="right"/>
    </xf>
    <xf numFmtId="0" fontId="0" fillId="2" borderId="2" xfId="0" applyFill="1" applyBorder="1"/>
    <xf numFmtId="0" fontId="0" fillId="2" borderId="0" xfId="0" applyFill="1" applyAlignment="1">
      <alignment horizontal="right" vertical="top"/>
    </xf>
    <xf numFmtId="0" fontId="0" fillId="9" borderId="12" xfId="0" applyFill="1" applyBorder="1" applyAlignment="1">
      <alignment horizontal="center" vertical="center"/>
      <extLst>
        <ext xmlns:xfpb="http://schemas.microsoft.com/office/spreadsheetml/2022/featurepropertybag" uri="{C7286773-470A-42A8-94C5-96B5CB345126}">
          <xfpb:xfComplement i="0"/>
        </ext>
      </extLst>
    </xf>
    <xf numFmtId="0" fontId="0" fillId="9" borderId="1" xfId="0" applyFill="1" applyBorder="1" applyAlignment="1">
      <alignment horizontal="center" vertical="center"/>
      <extLst>
        <ext xmlns:xfpb="http://schemas.microsoft.com/office/spreadsheetml/2022/featurepropertybag" uri="{C7286773-470A-42A8-94C5-96B5CB345126}">
          <xfpb:xfComplement i="0"/>
        </ext>
      </extLst>
    </xf>
    <xf numFmtId="0" fontId="3" fillId="10" borderId="8" xfId="0" applyFont="1" applyFill="1" applyBorder="1" applyAlignment="1">
      <alignment horizontal="center" vertical="center"/>
      <extLst>
        <ext xmlns:xfpb="http://schemas.microsoft.com/office/spreadsheetml/2022/featurepropertybag" uri="{C7286773-470A-42A8-94C5-96B5CB345126}">
          <xfpb:xfComplement i="0"/>
        </ext>
      </extLst>
    </xf>
    <xf numFmtId="0" fontId="3" fillId="10" borderId="9" xfId="0" applyFont="1" applyFill="1" applyBorder="1" applyAlignment="1">
      <alignment horizontal="center" vertical="center"/>
      <extLst>
        <ext xmlns:xfpb="http://schemas.microsoft.com/office/spreadsheetml/2022/featurepropertybag" uri="{C7286773-470A-42A8-94C5-96B5CB345126}">
          <xfpb:xfComplement i="0"/>
        </ext>
      </extLst>
    </xf>
    <xf numFmtId="0" fontId="3" fillId="10" borderId="10" xfId="0" applyFont="1" applyFill="1" applyBorder="1" applyAlignment="1">
      <alignment horizontal="center" vertical="center"/>
      <extLst>
        <ext xmlns:xfpb="http://schemas.microsoft.com/office/spreadsheetml/2022/featurepropertybag" uri="{C7286773-470A-42A8-94C5-96B5CB345126}">
          <xfpb:xfComplement i="0"/>
        </ext>
      </extLst>
    </xf>
    <xf numFmtId="0" fontId="0" fillId="9" borderId="1" xfId="0" applyFill="1" applyBorder="1" applyAlignment="1">
      <alignment horizontal="center" vertical="center" wrapText="1"/>
    </xf>
    <xf numFmtId="0" fontId="0" fillId="9" borderId="29" xfId="0" applyFill="1" applyBorder="1" applyAlignment="1">
      <alignment horizontal="center" vertical="center" wrapText="1"/>
    </xf>
    <xf numFmtId="0" fontId="0" fillId="9" borderId="13" xfId="0" applyFill="1" applyBorder="1" applyAlignment="1">
      <alignment horizontal="center" vertical="center" wrapText="1"/>
    </xf>
    <xf numFmtId="0" fontId="13" fillId="2" borderId="0" xfId="0" applyFont="1" applyFill="1" applyAlignment="1">
      <alignment vertical="center"/>
    </xf>
    <xf numFmtId="0" fontId="14" fillId="2" borderId="0" xfId="0" applyFont="1" applyFill="1"/>
    <xf numFmtId="0" fontId="15" fillId="2" borderId="0" xfId="0" applyFont="1" applyFill="1"/>
    <xf numFmtId="0" fontId="16" fillId="2" borderId="0" xfId="0" applyFont="1" applyFill="1" applyAlignment="1">
      <alignment horizontal="left" vertical="center"/>
    </xf>
    <xf numFmtId="0" fontId="17" fillId="2" borderId="0" xfId="0" applyFont="1" applyFill="1"/>
    <xf numFmtId="0" fontId="18" fillId="2" borderId="0" xfId="0" applyFont="1" applyFill="1" applyAlignment="1">
      <alignment horizontal="left" vertical="center"/>
    </xf>
    <xf numFmtId="0" fontId="14" fillId="2" borderId="0" xfId="0" applyFont="1" applyFill="1" applyAlignment="1">
      <alignment horizontal="left" vertical="center" wrapText="1"/>
    </xf>
    <xf numFmtId="0" fontId="0" fillId="2" borderId="0" xfId="0" applyFill="1" applyAlignment="1">
      <alignment vertical="top" wrapText="1"/>
    </xf>
    <xf numFmtId="0" fontId="19" fillId="4" borderId="38" xfId="0" applyFont="1" applyFill="1" applyBorder="1"/>
    <xf numFmtId="0" fontId="6" fillId="2" borderId="0" xfId="0" applyFont="1" applyFill="1"/>
    <xf numFmtId="0" fontId="7" fillId="5" borderId="43" xfId="0" applyFont="1" applyFill="1" applyBorder="1" applyAlignment="1">
      <alignment horizontal="center" vertical="center"/>
    </xf>
    <xf numFmtId="0" fontId="6" fillId="6" borderId="44" xfId="0" applyFont="1" applyFill="1" applyBorder="1" applyAlignment="1">
      <alignment horizontal="center" vertical="center"/>
    </xf>
    <xf numFmtId="0" fontId="6" fillId="7" borderId="44" xfId="0" applyFont="1" applyFill="1" applyBorder="1" applyAlignment="1">
      <alignment horizontal="center" vertical="center"/>
    </xf>
    <xf numFmtId="0" fontId="6" fillId="8" borderId="44" xfId="0" applyFont="1" applyFill="1" applyBorder="1" applyAlignment="1">
      <alignment horizontal="center" vertical="center"/>
    </xf>
    <xf numFmtId="0" fontId="6" fillId="3" borderId="50" xfId="0" applyFont="1" applyFill="1" applyBorder="1" applyAlignment="1">
      <alignment horizontal="center" vertical="center"/>
    </xf>
    <xf numFmtId="0" fontId="0" fillId="2" borderId="9" xfId="0" applyFill="1" applyBorder="1" applyAlignment="1">
      <alignment wrapText="1"/>
    </xf>
    <xf numFmtId="0" fontId="0" fillId="2" borderId="8" xfId="0" applyFill="1" applyBorder="1" applyAlignment="1">
      <alignment wrapText="1"/>
    </xf>
    <xf numFmtId="0" fontId="0" fillId="2" borderId="10" xfId="0" applyFill="1" applyBorder="1" applyAlignment="1">
      <alignment wrapText="1"/>
    </xf>
    <xf numFmtId="0" fontId="0" fillId="9" borderId="48" xfId="0" applyFill="1" applyBorder="1" applyAlignment="1">
      <alignment horizontal="center" vertical="center" wrapText="1"/>
    </xf>
    <xf numFmtId="0" fontId="2" fillId="2" borderId="0" xfId="0" applyFont="1" applyFill="1" applyAlignment="1">
      <alignment horizontal="center" wrapText="1"/>
    </xf>
    <xf numFmtId="0" fontId="0" fillId="4" borderId="23" xfId="0" applyFill="1" applyBorder="1" applyAlignment="1">
      <alignment wrapText="1"/>
    </xf>
    <xf numFmtId="0" fontId="2" fillId="2" borderId="0" xfId="0" applyFont="1" applyFill="1" applyAlignment="1">
      <alignment horizontal="right" vertical="center" wrapText="1"/>
    </xf>
    <xf numFmtId="0" fontId="0" fillId="2" borderId="13" xfId="0" applyFill="1" applyBorder="1" applyAlignment="1">
      <alignment horizontal="right" vertical="center" wrapText="1"/>
    </xf>
    <xf numFmtId="0" fontId="0" fillId="2" borderId="14" xfId="0" applyFill="1" applyBorder="1" applyAlignment="1">
      <alignment horizontal="right" vertical="center" wrapText="1"/>
    </xf>
    <xf numFmtId="0" fontId="0" fillId="2" borderId="16" xfId="0" applyFill="1" applyBorder="1" applyAlignment="1">
      <alignment horizontal="right" vertical="center" wrapText="1"/>
    </xf>
    <xf numFmtId="0" fontId="0" fillId="2" borderId="6" xfId="0" applyFill="1" applyBorder="1" applyAlignment="1">
      <alignment horizontal="right" vertical="center" wrapText="1"/>
    </xf>
    <xf numFmtId="0" fontId="2" fillId="2" borderId="0" xfId="0" applyFont="1" applyFill="1" applyAlignment="1">
      <alignment horizontal="left"/>
    </xf>
    <xf numFmtId="0" fontId="1" fillId="4" borderId="0" xfId="0" applyFont="1" applyFill="1" applyAlignment="1">
      <alignment horizontal="center" vertical="center" wrapText="1"/>
    </xf>
    <xf numFmtId="0" fontId="0" fillId="0" borderId="28" xfId="0" applyBorder="1" applyAlignment="1">
      <alignment horizontal="center" vertical="center" wrapText="1"/>
    </xf>
    <xf numFmtId="0" fontId="0" fillId="0" borderId="30" xfId="0" applyBorder="1" applyAlignment="1">
      <alignment horizontal="center" vertical="center" wrapText="1"/>
    </xf>
    <xf numFmtId="0" fontId="0" fillId="0" borderId="47" xfId="0" applyBorder="1" applyAlignment="1">
      <alignment horizontal="center" vertical="center" wrapText="1"/>
    </xf>
    <xf numFmtId="0" fontId="19" fillId="4" borderId="22" xfId="0" applyFont="1" applyFill="1" applyBorder="1"/>
    <xf numFmtId="0" fontId="0" fillId="4" borderId="49" xfId="0" applyFill="1" applyBorder="1"/>
    <xf numFmtId="0" fontId="1" fillId="4" borderId="33" xfId="0" applyFont="1" applyFill="1" applyBorder="1" applyAlignment="1">
      <alignment horizontal="center" vertical="center" wrapText="1"/>
    </xf>
    <xf numFmtId="0" fontId="0" fillId="2" borderId="0" xfId="0" applyFill="1" applyAlignment="1">
      <alignment horizontal="center" vertical="center"/>
    </xf>
    <xf numFmtId="0" fontId="0" fillId="2" borderId="0" xfId="0" applyFill="1" applyAlignment="1">
      <alignment vertical="center"/>
    </xf>
    <xf numFmtId="0" fontId="0" fillId="2" borderId="0" xfId="0" applyFill="1" applyAlignment="1">
      <alignment vertical="center" wrapText="1"/>
    </xf>
    <xf numFmtId="0" fontId="10" fillId="2" borderId="0" xfId="0" applyFont="1" applyFill="1" applyAlignment="1">
      <alignment horizontal="center" vertical="center" wrapText="1"/>
    </xf>
    <xf numFmtId="0" fontId="0" fillId="2" borderId="0" xfId="0" applyFill="1" applyAlignment="1">
      <alignment horizontal="left" vertical="top" wrapText="1"/>
    </xf>
    <xf numFmtId="0" fontId="19" fillId="4" borderId="23" xfId="0" applyFont="1" applyFill="1" applyBorder="1"/>
    <xf numFmtId="0" fontId="0" fillId="2" borderId="13" xfId="0" applyFill="1" applyBorder="1" applyAlignment="1">
      <alignment horizontal="left" vertical="center" wrapText="1"/>
    </xf>
    <xf numFmtId="0" fontId="0" fillId="2" borderId="14" xfId="0" applyFill="1" applyBorder="1" applyAlignment="1">
      <alignment horizontal="left" vertical="center" wrapText="1"/>
    </xf>
    <xf numFmtId="0" fontId="0" fillId="2" borderId="16" xfId="0" applyFill="1" applyBorder="1" applyAlignment="1">
      <alignment horizontal="left" vertical="center" wrapText="1"/>
    </xf>
    <xf numFmtId="0" fontId="13" fillId="2" borderId="1" xfId="0" applyFont="1" applyFill="1" applyBorder="1" applyAlignment="1">
      <alignment horizontal="center" vertical="center"/>
    </xf>
    <xf numFmtId="0" fontId="24" fillId="2" borderId="1" xfId="0" applyFont="1" applyFill="1" applyBorder="1" applyAlignment="1">
      <alignment horizontal="center" vertical="center"/>
    </xf>
    <xf numFmtId="0" fontId="0" fillId="2" borderId="1" xfId="0" applyFill="1" applyBorder="1" applyAlignment="1">
      <alignment horizontal="center" vertical="center"/>
    </xf>
    <xf numFmtId="0" fontId="10" fillId="2" borderId="1" xfId="0" applyFont="1" applyFill="1" applyBorder="1" applyAlignment="1">
      <alignment horizontal="center" vertical="center" wrapText="1"/>
    </xf>
    <xf numFmtId="0" fontId="10" fillId="2" borderId="1" xfId="0" applyFont="1" applyFill="1" applyBorder="1" applyAlignment="1">
      <alignment horizontal="center" vertical="center"/>
    </xf>
    <xf numFmtId="0" fontId="0" fillId="2" borderId="1" xfId="0" applyFill="1" applyBorder="1" applyAlignment="1">
      <alignment vertical="center"/>
    </xf>
    <xf numFmtId="0" fontId="13" fillId="2" borderId="3" xfId="0" applyFont="1" applyFill="1" applyBorder="1" applyAlignment="1">
      <alignment horizontal="center" vertical="center"/>
    </xf>
    <xf numFmtId="0" fontId="0" fillId="2" borderId="3" xfId="0" applyFill="1" applyBorder="1" applyAlignment="1">
      <alignment horizontal="center" vertical="center"/>
    </xf>
    <xf numFmtId="0" fontId="13" fillId="2" borderId="29" xfId="0" applyFont="1" applyFill="1" applyBorder="1" applyAlignment="1">
      <alignment horizontal="center" vertical="center"/>
    </xf>
    <xf numFmtId="0" fontId="13" fillId="2" borderId="48" xfId="0" applyFont="1" applyFill="1" applyBorder="1" applyAlignment="1">
      <alignment horizontal="center" vertical="center"/>
    </xf>
    <xf numFmtId="0" fontId="24" fillId="2" borderId="48" xfId="0" applyFont="1" applyFill="1" applyBorder="1" applyAlignment="1">
      <alignment horizontal="center" vertical="center"/>
    </xf>
    <xf numFmtId="0" fontId="0" fillId="2" borderId="29" xfId="0" applyFill="1" applyBorder="1" applyAlignment="1">
      <alignment horizontal="center" vertical="center"/>
    </xf>
    <xf numFmtId="0" fontId="10" fillId="2" borderId="29" xfId="0" applyFont="1" applyFill="1" applyBorder="1" applyAlignment="1">
      <alignment horizontal="center" vertical="center" wrapText="1"/>
    </xf>
    <xf numFmtId="0" fontId="0" fillId="2" borderId="13" xfId="0" applyFill="1" applyBorder="1" applyAlignment="1">
      <alignment vertical="center" wrapText="1"/>
    </xf>
    <xf numFmtId="0" fontId="0" fillId="2" borderId="14" xfId="0" applyFill="1" applyBorder="1" applyAlignment="1">
      <alignment vertical="center" wrapText="1"/>
    </xf>
    <xf numFmtId="0" fontId="0" fillId="2" borderId="48" xfId="0" applyFill="1" applyBorder="1" applyAlignment="1">
      <alignment horizontal="center" vertical="center"/>
    </xf>
    <xf numFmtId="0" fontId="10" fillId="2" borderId="48" xfId="0" applyFont="1" applyFill="1" applyBorder="1" applyAlignment="1">
      <alignment horizontal="center" vertical="center" wrapText="1"/>
    </xf>
    <xf numFmtId="0" fontId="0" fillId="2" borderId="16" xfId="0" applyFill="1" applyBorder="1" applyAlignment="1">
      <alignment vertical="center" wrapText="1"/>
    </xf>
    <xf numFmtId="0" fontId="0" fillId="2" borderId="14" xfId="0" applyFill="1" applyBorder="1"/>
    <xf numFmtId="0" fontId="10" fillId="2" borderId="48" xfId="0" applyFont="1" applyFill="1" applyBorder="1" applyAlignment="1">
      <alignment horizontal="center" vertical="center"/>
    </xf>
    <xf numFmtId="0" fontId="0" fillId="2" borderId="16" xfId="0" applyFill="1" applyBorder="1"/>
    <xf numFmtId="0" fontId="10" fillId="2" borderId="29" xfId="0" applyFont="1" applyFill="1" applyBorder="1" applyAlignment="1">
      <alignment horizontal="center" vertical="center"/>
    </xf>
    <xf numFmtId="0" fontId="0" fillId="2" borderId="13" xfId="0" applyFill="1" applyBorder="1"/>
    <xf numFmtId="0" fontId="0" fillId="2" borderId="14" xfId="0" applyFill="1" applyBorder="1" applyAlignment="1">
      <alignment wrapText="1"/>
    </xf>
    <xf numFmtId="0" fontId="0" fillId="2" borderId="29" xfId="0" applyFill="1" applyBorder="1" applyAlignment="1">
      <alignment vertical="center"/>
    </xf>
    <xf numFmtId="0" fontId="0" fillId="2" borderId="48" xfId="0" applyFill="1" applyBorder="1" applyAlignment="1">
      <alignment vertical="center"/>
    </xf>
    <xf numFmtId="0" fontId="13" fillId="2" borderId="12" xfId="0" applyFont="1" applyFill="1" applyBorder="1" applyAlignment="1">
      <alignment horizontal="center" vertical="center"/>
    </xf>
    <xf numFmtId="0" fontId="13" fillId="2" borderId="7" xfId="0" applyFont="1" applyFill="1" applyBorder="1" applyAlignment="1">
      <alignment horizontal="center" vertical="center"/>
    </xf>
    <xf numFmtId="0" fontId="13" fillId="2" borderId="15" xfId="0" applyFont="1" applyFill="1" applyBorder="1" applyAlignment="1">
      <alignment horizontal="center" vertical="center"/>
    </xf>
    <xf numFmtId="0" fontId="0" fillId="2" borderId="13" xfId="0" applyFill="1" applyBorder="1" applyAlignment="1">
      <alignment horizontal="center" vertical="center"/>
    </xf>
    <xf numFmtId="0" fontId="0" fillId="2" borderId="13" xfId="0" applyFill="1" applyBorder="1" applyAlignment="1">
      <alignment horizontal="left" vertical="center"/>
    </xf>
    <xf numFmtId="0" fontId="0" fillId="2" borderId="27" xfId="0" applyFill="1" applyBorder="1" applyAlignment="1">
      <alignment vertical="center"/>
    </xf>
    <xf numFmtId="0" fontId="10" fillId="2" borderId="27" xfId="0" applyFont="1" applyFill="1" applyBorder="1" applyAlignment="1">
      <alignment horizontal="center" vertical="center" wrapText="1"/>
    </xf>
    <xf numFmtId="0" fontId="0" fillId="2" borderId="25" xfId="0" applyFill="1" applyBorder="1" applyAlignment="1">
      <alignment vertical="center" wrapText="1"/>
    </xf>
    <xf numFmtId="0" fontId="13" fillId="2" borderId="54" xfId="0" applyFont="1" applyFill="1" applyBorder="1" applyAlignment="1">
      <alignment horizontal="center" vertical="center"/>
    </xf>
    <xf numFmtId="0" fontId="24" fillId="2" borderId="3" xfId="0" applyFont="1" applyFill="1" applyBorder="1" applyAlignment="1">
      <alignment horizontal="center" vertical="center"/>
    </xf>
    <xf numFmtId="0" fontId="0" fillId="2" borderId="26" xfId="0" applyFill="1" applyBorder="1" applyAlignment="1">
      <alignment horizontal="left" vertical="center" wrapText="1"/>
    </xf>
    <xf numFmtId="0" fontId="0" fillId="2" borderId="27" xfId="0" applyFill="1" applyBorder="1" applyAlignment="1">
      <alignment horizontal="center" vertical="center"/>
    </xf>
    <xf numFmtId="0" fontId="0" fillId="2" borderId="25" xfId="0" applyFill="1" applyBorder="1" applyAlignment="1">
      <alignment horizontal="left" vertical="center" wrapText="1"/>
    </xf>
    <xf numFmtId="0" fontId="13" fillId="2" borderId="62" xfId="0" applyFont="1" applyFill="1" applyBorder="1" applyAlignment="1">
      <alignment horizontal="center" vertical="center"/>
    </xf>
    <xf numFmtId="0" fontId="0" fillId="2" borderId="0" xfId="0" applyFill="1" applyAlignment="1">
      <alignment horizontal="center"/>
    </xf>
    <xf numFmtId="0" fontId="10" fillId="2" borderId="7" xfId="0" applyFont="1" applyFill="1" applyBorder="1" applyAlignment="1">
      <alignment horizontal="center" vertical="center" wrapText="1"/>
    </xf>
    <xf numFmtId="0" fontId="20" fillId="2" borderId="0" xfId="0" applyFont="1" applyFill="1"/>
    <xf numFmtId="0" fontId="1" fillId="4" borderId="0" xfId="0" applyFont="1" applyFill="1" applyAlignment="1">
      <alignment horizontal="center" vertical="center" textRotation="90"/>
    </xf>
    <xf numFmtId="0" fontId="8" fillId="2" borderId="18" xfId="0" applyFont="1" applyFill="1" applyBorder="1" applyAlignment="1">
      <alignment horizontal="center" vertical="center" wrapText="1"/>
    </xf>
    <xf numFmtId="0" fontId="0" fillId="0" borderId="1" xfId="0" applyBorder="1" applyAlignment="1">
      <alignment horizontal="center" vertical="center" wrapText="1"/>
    </xf>
    <xf numFmtId="0" fontId="0" fillId="0" borderId="29" xfId="0" applyBorder="1" applyAlignment="1">
      <alignment horizontal="center" vertical="center" wrapText="1"/>
    </xf>
    <xf numFmtId="0" fontId="0" fillId="0" borderId="48" xfId="0" applyBorder="1" applyAlignment="1">
      <alignment horizontal="center" vertical="center" wrapText="1"/>
    </xf>
    <xf numFmtId="0" fontId="10" fillId="2" borderId="24" xfId="0" applyFont="1" applyFill="1" applyBorder="1" applyAlignment="1">
      <alignment horizontal="center" vertical="center" wrapText="1"/>
    </xf>
    <xf numFmtId="0" fontId="22" fillId="4" borderId="27" xfId="0" applyFont="1" applyFill="1" applyBorder="1" applyAlignment="1">
      <alignment horizontal="center"/>
    </xf>
    <xf numFmtId="0" fontId="22" fillId="4" borderId="45" xfId="0" applyFont="1" applyFill="1" applyBorder="1" applyAlignment="1">
      <alignment horizontal="center"/>
    </xf>
    <xf numFmtId="0" fontId="1" fillId="4" borderId="18" xfId="0" applyFont="1" applyFill="1" applyBorder="1" applyAlignment="1">
      <alignment horizontal="center"/>
    </xf>
    <xf numFmtId="0" fontId="1" fillId="4" borderId="65" xfId="0" applyFont="1" applyFill="1" applyBorder="1" applyAlignment="1">
      <alignment horizontal="center"/>
    </xf>
    <xf numFmtId="0" fontId="22" fillId="4" borderId="65" xfId="0" applyFont="1" applyFill="1" applyBorder="1" applyAlignment="1">
      <alignment horizontal="center"/>
    </xf>
    <xf numFmtId="0" fontId="22" fillId="4" borderId="0" xfId="0" applyFont="1" applyFill="1" applyAlignment="1">
      <alignment horizontal="center"/>
    </xf>
    <xf numFmtId="0" fontId="26" fillId="2" borderId="34" xfId="0" applyFont="1" applyFill="1" applyBorder="1" applyAlignment="1">
      <alignment horizontal="center" vertical="center" wrapText="1"/>
    </xf>
    <xf numFmtId="0" fontId="22" fillId="2" borderId="2" xfId="0" applyFont="1" applyFill="1" applyBorder="1" applyAlignment="1">
      <alignment horizontal="center"/>
    </xf>
    <xf numFmtId="0" fontId="22" fillId="2" borderId="34" xfId="0" applyFont="1" applyFill="1" applyBorder="1" applyAlignment="1">
      <alignment horizontal="center"/>
    </xf>
    <xf numFmtId="0" fontId="5" fillId="2" borderId="36" xfId="0" applyFont="1" applyFill="1" applyBorder="1" applyAlignment="1">
      <alignment horizontal="center" vertical="center" wrapText="1"/>
    </xf>
    <xf numFmtId="0" fontId="22" fillId="2" borderId="0" xfId="0" applyFont="1" applyFill="1" applyAlignment="1">
      <alignment horizontal="center"/>
    </xf>
    <xf numFmtId="0" fontId="13" fillId="2" borderId="0" xfId="0" applyFont="1" applyFill="1"/>
    <xf numFmtId="0" fontId="0" fillId="2" borderId="20" xfId="0" applyFill="1" applyBorder="1"/>
    <xf numFmtId="0" fontId="5" fillId="2" borderId="34" xfId="0" applyFont="1" applyFill="1" applyBorder="1" applyAlignment="1">
      <alignment horizontal="center" vertical="center" wrapText="1"/>
    </xf>
    <xf numFmtId="0" fontId="0" fillId="2" borderId="34" xfId="0" applyFill="1" applyBorder="1"/>
    <xf numFmtId="0" fontId="2" fillId="2" borderId="40" xfId="0" applyFont="1" applyFill="1" applyBorder="1" applyAlignment="1">
      <alignment horizontal="left"/>
    </xf>
    <xf numFmtId="9" fontId="2" fillId="2" borderId="42" xfId="1" applyFont="1" applyFill="1" applyBorder="1" applyAlignment="1">
      <alignment horizontal="right"/>
    </xf>
    <xf numFmtId="0" fontId="2" fillId="2" borderId="39" xfId="0" applyFont="1" applyFill="1" applyBorder="1" applyAlignment="1">
      <alignment horizontal="left"/>
    </xf>
    <xf numFmtId="9" fontId="2" fillId="2" borderId="51" xfId="1" applyFont="1" applyFill="1" applyBorder="1" applyAlignment="1">
      <alignment horizontal="right"/>
    </xf>
    <xf numFmtId="0" fontId="2" fillId="2" borderId="40" xfId="0" applyFont="1" applyFill="1" applyBorder="1" applyAlignment="1">
      <alignment horizontal="center"/>
    </xf>
    <xf numFmtId="9" fontId="2" fillId="2" borderId="42" xfId="1" applyFont="1" applyFill="1" applyBorder="1" applyAlignment="1">
      <alignment horizontal="center"/>
    </xf>
    <xf numFmtId="0" fontId="2" fillId="2" borderId="39" xfId="0" applyFont="1" applyFill="1" applyBorder="1" applyAlignment="1">
      <alignment horizontal="center"/>
    </xf>
    <xf numFmtId="9" fontId="2" fillId="2" borderId="51" xfId="1" applyFont="1" applyFill="1" applyBorder="1" applyAlignment="1">
      <alignment horizontal="center"/>
    </xf>
    <xf numFmtId="0" fontId="22" fillId="2" borderId="0" xfId="0" applyFont="1" applyFill="1" applyAlignment="1">
      <alignment horizontal="center" vertical="center"/>
    </xf>
    <xf numFmtId="0" fontId="2" fillId="2" borderId="23" xfId="0" applyFont="1" applyFill="1" applyBorder="1" applyAlignment="1">
      <alignment horizontal="right" vertical="center"/>
    </xf>
    <xf numFmtId="0" fontId="1" fillId="4" borderId="22" xfId="0" applyFont="1" applyFill="1" applyBorder="1" applyAlignment="1">
      <alignment horizontal="right" vertical="center" wrapText="1"/>
    </xf>
    <xf numFmtId="0" fontId="3" fillId="4" borderId="0" xfId="0" applyFont="1" applyFill="1"/>
    <xf numFmtId="0" fontId="2" fillId="2" borderId="28" xfId="0" applyFont="1" applyFill="1" applyBorder="1" applyAlignment="1">
      <alignment horizontal="left"/>
    </xf>
    <xf numFmtId="0" fontId="2" fillId="2" borderId="13" xfId="0" applyFont="1" applyFill="1" applyBorder="1" applyAlignment="1">
      <alignment horizontal="right"/>
    </xf>
    <xf numFmtId="0" fontId="2" fillId="2" borderId="12" xfId="0" applyFont="1" applyFill="1" applyBorder="1" applyAlignment="1">
      <alignment horizontal="left"/>
    </xf>
    <xf numFmtId="0" fontId="2" fillId="2" borderId="43" xfId="0" applyFont="1" applyFill="1" applyBorder="1" applyAlignment="1">
      <alignment horizontal="right"/>
    </xf>
    <xf numFmtId="0" fontId="2" fillId="2" borderId="47" xfId="0" applyFont="1" applyFill="1" applyBorder="1" applyAlignment="1">
      <alignment horizontal="center"/>
    </xf>
    <xf numFmtId="0" fontId="2" fillId="2" borderId="16" xfId="0" applyFont="1" applyFill="1" applyBorder="1" applyAlignment="1">
      <alignment horizontal="center"/>
    </xf>
    <xf numFmtId="0" fontId="0" fillId="2" borderId="15" xfId="0" applyFill="1" applyBorder="1"/>
    <xf numFmtId="0" fontId="0" fillId="4" borderId="4" xfId="0" applyFill="1" applyBorder="1"/>
    <xf numFmtId="0" fontId="0" fillId="4" borderId="6" xfId="0" applyFill="1" applyBorder="1"/>
    <xf numFmtId="0" fontId="25" fillId="2" borderId="28" xfId="0" applyFont="1" applyFill="1" applyBorder="1" applyAlignment="1">
      <alignment horizontal="center" vertical="center" wrapText="1"/>
    </xf>
    <xf numFmtId="0" fontId="25" fillId="2" borderId="12" xfId="0" applyFont="1" applyFill="1" applyBorder="1" applyAlignment="1">
      <alignment horizontal="center" vertical="center" wrapText="1"/>
    </xf>
    <xf numFmtId="0" fontId="0" fillId="2" borderId="43" xfId="0" applyFill="1" applyBorder="1" applyAlignment="1">
      <alignment horizontal="center" vertical="center"/>
    </xf>
    <xf numFmtId="0" fontId="2" fillId="2" borderId="15" xfId="0" applyFont="1" applyFill="1" applyBorder="1" applyAlignment="1">
      <alignment horizontal="center"/>
    </xf>
    <xf numFmtId="0" fontId="2" fillId="2" borderId="50" xfId="0" applyFont="1" applyFill="1" applyBorder="1" applyAlignment="1">
      <alignment horizontal="center"/>
    </xf>
    <xf numFmtId="0" fontId="25" fillId="2" borderId="23" xfId="0" applyFont="1" applyFill="1" applyBorder="1" applyAlignment="1">
      <alignment horizontal="center" wrapText="1"/>
    </xf>
    <xf numFmtId="0" fontId="0" fillId="2" borderId="33" xfId="0" applyFill="1" applyBorder="1" applyAlignment="1">
      <alignment horizontal="center"/>
    </xf>
    <xf numFmtId="0" fontId="25" fillId="2" borderId="0" xfId="0" applyFont="1" applyFill="1" applyAlignment="1">
      <alignment horizontal="center" wrapText="1"/>
    </xf>
    <xf numFmtId="0" fontId="2" fillId="2" borderId="42" xfId="0" applyFont="1" applyFill="1" applyBorder="1" applyAlignment="1">
      <alignment horizontal="center"/>
    </xf>
    <xf numFmtId="0" fontId="2" fillId="2" borderId="51" xfId="0" applyFont="1" applyFill="1" applyBorder="1" applyAlignment="1">
      <alignment horizontal="center"/>
    </xf>
    <xf numFmtId="0" fontId="2" fillId="2" borderId="4" xfId="0" applyFont="1" applyFill="1" applyBorder="1" applyAlignment="1">
      <alignment horizontal="center"/>
    </xf>
    <xf numFmtId="9" fontId="2" fillId="2" borderId="6" xfId="1" applyFont="1" applyFill="1" applyBorder="1" applyAlignment="1">
      <alignment horizontal="center"/>
    </xf>
    <xf numFmtId="0" fontId="2" fillId="2" borderId="17" xfId="0" applyFont="1" applyFill="1" applyBorder="1" applyAlignment="1">
      <alignment horizontal="center"/>
    </xf>
    <xf numFmtId="9" fontId="2" fillId="2" borderId="46" xfId="1" applyFont="1" applyFill="1" applyBorder="1" applyAlignment="1">
      <alignment horizontal="center"/>
    </xf>
    <xf numFmtId="0" fontId="27" fillId="2" borderId="22" xfId="0" applyFont="1" applyFill="1" applyBorder="1" applyAlignment="1">
      <alignment horizontal="center" vertical="center" wrapText="1"/>
    </xf>
    <xf numFmtId="0" fontId="28" fillId="2" borderId="22" xfId="0" applyFont="1" applyFill="1" applyBorder="1" applyAlignment="1">
      <alignment horizontal="center" vertical="center" wrapText="1"/>
    </xf>
    <xf numFmtId="0" fontId="0" fillId="2" borderId="43" xfId="0" applyFill="1" applyBorder="1" applyAlignment="1">
      <alignment horizontal="right" vertical="center" wrapText="1"/>
    </xf>
    <xf numFmtId="0" fontId="0" fillId="2" borderId="44" xfId="0" applyFill="1" applyBorder="1" applyAlignment="1">
      <alignment horizontal="right" vertical="center" wrapText="1"/>
    </xf>
    <xf numFmtId="0" fontId="0" fillId="2" borderId="50" xfId="0" applyFill="1" applyBorder="1" applyAlignment="1">
      <alignment horizontal="right" vertical="center" wrapText="1"/>
    </xf>
    <xf numFmtId="0" fontId="6" fillId="0" borderId="40" xfId="0" applyFont="1" applyBorder="1" applyAlignment="1">
      <alignment horizontal="center" vertical="center" wrapText="1"/>
    </xf>
    <xf numFmtId="0" fontId="6" fillId="0" borderId="41" xfId="0" applyFont="1" applyBorder="1" applyAlignment="1">
      <alignment horizontal="center" vertical="center" wrapText="1"/>
    </xf>
    <xf numFmtId="0" fontId="6" fillId="0" borderId="42" xfId="0" applyFont="1" applyBorder="1" applyAlignment="1">
      <alignment horizontal="center" vertical="center" wrapText="1"/>
    </xf>
    <xf numFmtId="0" fontId="0" fillId="0" borderId="4" xfId="0" applyBorder="1" applyAlignment="1">
      <alignment horizontal="center" vertical="center" wrapText="1"/>
    </xf>
    <xf numFmtId="0" fontId="1" fillId="4" borderId="0" xfId="0" applyFont="1" applyFill="1" applyAlignment="1">
      <alignment horizontal="center"/>
    </xf>
    <xf numFmtId="0" fontId="0" fillId="2" borderId="46" xfId="0" applyFill="1" applyBorder="1" applyAlignment="1">
      <alignment horizontal="center" vertical="center"/>
    </xf>
    <xf numFmtId="0" fontId="0" fillId="2" borderId="4" xfId="0" applyFill="1" applyBorder="1" applyAlignment="1">
      <alignment horizontal="center" vertical="center"/>
    </xf>
    <xf numFmtId="0" fontId="0" fillId="2" borderId="8"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6" fillId="0" borderId="31" xfId="0" applyFont="1" applyBorder="1" applyAlignment="1">
      <alignment horizontal="center" vertical="center" wrapText="1"/>
    </xf>
    <xf numFmtId="0" fontId="6" fillId="0" borderId="27" xfId="0" applyFont="1" applyBorder="1" applyAlignment="1">
      <alignment horizontal="center" vertical="center" wrapText="1"/>
    </xf>
    <xf numFmtId="0" fontId="6" fillId="0" borderId="25" xfId="0" applyFont="1" applyBorder="1" applyAlignment="1">
      <alignment horizontal="center" vertical="center" wrapText="1"/>
    </xf>
    <xf numFmtId="0" fontId="20" fillId="0" borderId="29" xfId="0" applyFont="1" applyBorder="1" applyAlignment="1">
      <alignment horizontal="center" vertical="center" wrapText="1"/>
    </xf>
    <xf numFmtId="0" fontId="0" fillId="0" borderId="13" xfId="0" applyBorder="1" applyAlignment="1">
      <alignment horizontal="center" vertical="center" wrapText="1"/>
    </xf>
    <xf numFmtId="0" fontId="20" fillId="0" borderId="1" xfId="0" applyFont="1" applyBorder="1" applyAlignment="1">
      <alignment horizontal="center" vertical="center" wrapText="1"/>
    </xf>
    <xf numFmtId="0" fontId="0" fillId="0" borderId="14" xfId="0" applyBorder="1" applyAlignment="1">
      <alignment horizontal="center" vertical="center" wrapText="1"/>
    </xf>
    <xf numFmtId="0" fontId="20" fillId="0" borderId="14" xfId="0" applyFont="1" applyBorder="1" applyAlignment="1">
      <alignment horizontal="center" vertical="center" wrapText="1"/>
    </xf>
    <xf numFmtId="0" fontId="20" fillId="0" borderId="13" xfId="0" applyFont="1" applyBorder="1" applyAlignment="1">
      <alignment horizontal="center" vertical="center" wrapText="1"/>
    </xf>
    <xf numFmtId="0" fontId="20" fillId="0" borderId="48" xfId="0" applyFont="1" applyBorder="1" applyAlignment="1">
      <alignment horizontal="center" vertical="center" wrapText="1"/>
    </xf>
    <xf numFmtId="0" fontId="20" fillId="0" borderId="16" xfId="0" applyFont="1" applyBorder="1" applyAlignment="1">
      <alignment horizontal="center" vertical="center" wrapText="1"/>
    </xf>
    <xf numFmtId="0" fontId="0" fillId="0" borderId="0" xfId="0" applyAlignment="1">
      <alignment wrapText="1"/>
    </xf>
    <xf numFmtId="0" fontId="0" fillId="0" borderId="12" xfId="0" applyBorder="1" applyAlignment="1">
      <alignment horizontal="center" vertical="center" wrapText="1"/>
    </xf>
    <xf numFmtId="0" fontId="0" fillId="0" borderId="7" xfId="0" applyBorder="1" applyAlignment="1">
      <alignment horizontal="center" vertical="center" wrapText="1"/>
    </xf>
    <xf numFmtId="0" fontId="0" fillId="0" borderId="15" xfId="0" applyBorder="1" applyAlignment="1">
      <alignment horizontal="center" vertical="center" wrapText="1"/>
    </xf>
    <xf numFmtId="0" fontId="0" fillId="0" borderId="17" xfId="0" applyBorder="1" applyAlignment="1">
      <alignment horizontal="center" vertical="center" wrapText="1"/>
    </xf>
    <xf numFmtId="0" fontId="20" fillId="0" borderId="13" xfId="0" applyFont="1" applyBorder="1" applyAlignment="1">
      <alignment horizontal="left" vertical="center" wrapText="1"/>
    </xf>
    <xf numFmtId="0" fontId="29" fillId="2" borderId="0" xfId="0" applyFont="1" applyFill="1"/>
    <xf numFmtId="0" fontId="0" fillId="9" borderId="28" xfId="0" applyFill="1" applyBorder="1" applyAlignment="1">
      <alignment horizontal="center" vertical="center" wrapText="1"/>
    </xf>
    <xf numFmtId="0" fontId="20" fillId="9" borderId="29" xfId="0" applyFont="1" applyFill="1" applyBorder="1" applyAlignment="1">
      <alignment horizontal="center" vertical="center" wrapText="1"/>
    </xf>
    <xf numFmtId="0" fontId="20" fillId="9" borderId="13" xfId="0" applyFont="1" applyFill="1" applyBorder="1" applyAlignment="1">
      <alignment horizontal="center" vertical="center" wrapText="1"/>
    </xf>
    <xf numFmtId="0" fontId="20" fillId="9" borderId="13" xfId="0" applyFont="1" applyFill="1" applyBorder="1" applyAlignment="1">
      <alignment horizontal="left" vertical="center" wrapText="1"/>
    </xf>
    <xf numFmtId="0" fontId="0" fillId="9" borderId="30" xfId="0" applyFill="1" applyBorder="1" applyAlignment="1">
      <alignment horizontal="center" vertical="center" wrapText="1"/>
    </xf>
    <xf numFmtId="0" fontId="20" fillId="9" borderId="1" xfId="0" applyFont="1" applyFill="1" applyBorder="1" applyAlignment="1">
      <alignment horizontal="center" vertical="center" wrapText="1"/>
    </xf>
    <xf numFmtId="0" fontId="20" fillId="9" borderId="14" xfId="0" applyFont="1" applyFill="1" applyBorder="1" applyAlignment="1">
      <alignment horizontal="center" vertical="center" wrapText="1"/>
    </xf>
    <xf numFmtId="0" fontId="0" fillId="9" borderId="47" xfId="0" applyFill="1" applyBorder="1" applyAlignment="1">
      <alignment horizontal="center" vertical="center" wrapText="1"/>
    </xf>
    <xf numFmtId="0" fontId="20" fillId="9" borderId="48" xfId="0" applyFont="1" applyFill="1" applyBorder="1" applyAlignment="1">
      <alignment horizontal="center" vertical="center" wrapText="1"/>
    </xf>
    <xf numFmtId="0" fontId="20" fillId="9" borderId="16" xfId="0" applyFont="1" applyFill="1" applyBorder="1" applyAlignment="1">
      <alignment horizontal="center" vertical="center" wrapText="1"/>
    </xf>
    <xf numFmtId="0" fontId="0" fillId="9" borderId="12" xfId="0" applyFill="1" applyBorder="1" applyAlignment="1">
      <alignment horizontal="center" vertical="center" wrapText="1"/>
    </xf>
    <xf numFmtId="0" fontId="0" fillId="2" borderId="6" xfId="0" applyFill="1" applyBorder="1" applyAlignment="1">
      <alignment horizontal="center" vertical="center"/>
      <extLst>
        <ext xmlns:xfpb="http://schemas.microsoft.com/office/spreadsheetml/2022/featurepropertybag" uri="{C7286773-470A-42A8-94C5-96B5CB345126}">
          <xfpb:xfComplement i="0"/>
        </ext>
      </extLst>
    </xf>
    <xf numFmtId="0" fontId="2" fillId="2" borderId="4" xfId="0" applyFont="1" applyFill="1" applyBorder="1" applyAlignment="1">
      <alignment horizontal="right"/>
    </xf>
    <xf numFmtId="0" fontId="8" fillId="2" borderId="5"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2" fillId="2" borderId="52"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0" fillId="2" borderId="5" xfId="0" applyFill="1" applyBorder="1" applyAlignment="1">
      <alignment horizontal="center" vertical="center"/>
    </xf>
    <xf numFmtId="0" fontId="6" fillId="2" borderId="2" xfId="0" applyFont="1" applyFill="1" applyBorder="1" applyAlignment="1">
      <alignment horizontal="center" vertical="center" wrapText="1"/>
    </xf>
    <xf numFmtId="0" fontId="0" fillId="2" borderId="11" xfId="0" applyFill="1" applyBorder="1" applyAlignment="1">
      <alignment horizontal="center" vertical="center" wrapText="1"/>
    </xf>
    <xf numFmtId="0" fontId="0" fillId="2" borderId="46" xfId="0" applyFill="1" applyBorder="1" applyAlignment="1">
      <alignment horizontal="right" vertical="center"/>
    </xf>
    <xf numFmtId="0" fontId="0" fillId="9" borderId="8" xfId="0" applyFill="1" applyBorder="1" applyAlignment="1">
      <alignment horizontal="center" vertical="center" wrapText="1"/>
    </xf>
    <xf numFmtId="0" fontId="0" fillId="9" borderId="11" xfId="0" applyFill="1" applyBorder="1" applyAlignment="1">
      <alignment horizontal="center" vertical="center" wrapText="1"/>
    </xf>
    <xf numFmtId="0" fontId="0" fillId="9" borderId="10" xfId="0" applyFill="1" applyBorder="1" applyAlignment="1">
      <alignment horizontal="center" vertical="center" wrapText="1"/>
    </xf>
    <xf numFmtId="0" fontId="0" fillId="9" borderId="2" xfId="0" applyFill="1" applyBorder="1" applyAlignment="1">
      <alignment horizontal="center" vertical="center" wrapText="1"/>
    </xf>
    <xf numFmtId="0" fontId="0" fillId="9" borderId="9" xfId="0" applyFill="1" applyBorder="1" applyAlignment="1">
      <alignment horizontal="center" vertical="center" wrapText="1"/>
    </xf>
    <xf numFmtId="0" fontId="0" fillId="2" borderId="2" xfId="0" applyFill="1" applyBorder="1" applyAlignment="1">
      <alignment horizontal="center" vertical="center" wrapText="1"/>
    </xf>
    <xf numFmtId="0" fontId="0" fillId="0" borderId="16" xfId="0" applyBorder="1" applyAlignment="1">
      <alignment horizontal="center" vertical="center" wrapText="1"/>
    </xf>
    <xf numFmtId="0" fontId="20" fillId="0" borderId="5" xfId="0" applyFont="1" applyBorder="1" applyAlignment="1">
      <alignment horizontal="center" vertical="center" wrapText="1"/>
    </xf>
    <xf numFmtId="0" fontId="20" fillId="0" borderId="6" xfId="0" applyFont="1" applyBorder="1" applyAlignment="1">
      <alignment horizontal="center" vertical="center" wrapText="1"/>
    </xf>
    <xf numFmtId="0" fontId="20" fillId="0" borderId="6" xfId="0" applyFont="1" applyBorder="1" applyAlignment="1">
      <alignment horizontal="left" vertical="center" wrapText="1"/>
    </xf>
    <xf numFmtId="0" fontId="0" fillId="2" borderId="46" xfId="0" applyFill="1" applyBorder="1" applyAlignment="1">
      <alignment horizontal="right" vertical="center" wrapText="1"/>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20" fillId="9" borderId="6" xfId="0" applyFont="1" applyFill="1" applyBorder="1" applyAlignment="1">
      <alignment horizontal="left" vertical="center" wrapText="1"/>
    </xf>
    <xf numFmtId="0" fontId="0" fillId="2" borderId="62" xfId="0" applyFill="1" applyBorder="1" applyAlignment="1">
      <alignment horizontal="center" vertical="center"/>
    </xf>
    <xf numFmtId="0" fontId="2" fillId="2" borderId="22" xfId="0" applyFont="1" applyFill="1" applyBorder="1" applyAlignment="1">
      <alignment horizontal="center" vertical="center"/>
    </xf>
    <xf numFmtId="0" fontId="2" fillId="2" borderId="49" xfId="0" applyFont="1" applyFill="1" applyBorder="1" applyAlignment="1">
      <alignment horizontal="center" vertical="center"/>
    </xf>
    <xf numFmtId="0" fontId="2" fillId="2" borderId="23" xfId="0" applyFont="1" applyFill="1" applyBorder="1" applyAlignment="1">
      <alignment horizontal="center" vertical="center"/>
    </xf>
    <xf numFmtId="0" fontId="2" fillId="2" borderId="33" xfId="0" applyFont="1" applyFill="1" applyBorder="1" applyAlignment="1">
      <alignment horizontal="center" vertical="center"/>
    </xf>
    <xf numFmtId="0" fontId="2" fillId="2" borderId="55" xfId="0" applyFont="1" applyFill="1" applyBorder="1" applyAlignment="1">
      <alignment horizontal="center" vertical="center"/>
    </xf>
    <xf numFmtId="0" fontId="2" fillId="2" borderId="56" xfId="0" applyFont="1" applyFill="1" applyBorder="1" applyAlignment="1">
      <alignment horizontal="center" vertical="center"/>
    </xf>
    <xf numFmtId="0" fontId="2" fillId="2" borderId="36" xfId="0" applyFont="1" applyFill="1" applyBorder="1" applyAlignment="1">
      <alignment horizontal="center" vertical="center"/>
    </xf>
    <xf numFmtId="0" fontId="2" fillId="2" borderId="32" xfId="0" applyFont="1" applyFill="1" applyBorder="1" applyAlignment="1">
      <alignment horizontal="center" vertical="center"/>
    </xf>
    <xf numFmtId="0" fontId="0" fillId="2" borderId="58" xfId="0" applyFill="1" applyBorder="1" applyAlignment="1">
      <alignment horizontal="center"/>
    </xf>
    <xf numFmtId="0" fontId="0" fillId="2" borderId="57" xfId="0" applyFill="1" applyBorder="1" applyAlignment="1">
      <alignment horizontal="center"/>
    </xf>
    <xf numFmtId="0" fontId="0" fillId="2" borderId="61" xfId="0" applyFill="1" applyBorder="1" applyAlignment="1">
      <alignment horizontal="center"/>
    </xf>
    <xf numFmtId="0" fontId="0" fillId="2" borderId="63" xfId="0" applyFill="1" applyBorder="1" applyAlignment="1">
      <alignment horizontal="center"/>
    </xf>
    <xf numFmtId="0" fontId="0" fillId="2" borderId="4" xfId="0" applyFill="1" applyBorder="1" applyAlignment="1">
      <alignment horizontal="center"/>
    </xf>
    <xf numFmtId="0" fontId="0" fillId="2" borderId="6" xfId="0" applyFill="1" applyBorder="1" applyAlignment="1">
      <alignment horizontal="center"/>
    </xf>
    <xf numFmtId="0" fontId="0" fillId="2" borderId="17" xfId="0" applyFill="1" applyBorder="1" applyAlignment="1">
      <alignment horizontal="center"/>
    </xf>
    <xf numFmtId="0" fontId="0" fillId="2" borderId="46" xfId="0" applyFill="1" applyBorder="1" applyAlignment="1">
      <alignment horizontal="center"/>
    </xf>
    <xf numFmtId="0" fontId="0" fillId="2" borderId="0" xfId="0" applyFill="1" applyAlignment="1">
      <alignment horizontal="center"/>
    </xf>
    <xf numFmtId="0" fontId="1" fillId="4" borderId="36" xfId="0" applyFont="1" applyFill="1" applyBorder="1" applyAlignment="1">
      <alignment horizontal="center" vertical="center" wrapText="1"/>
    </xf>
    <xf numFmtId="0" fontId="1" fillId="4" borderId="34" xfId="0" applyFont="1" applyFill="1" applyBorder="1" applyAlignment="1">
      <alignment horizontal="center" vertical="center" wrapText="1"/>
    </xf>
    <xf numFmtId="0" fontId="1" fillId="4" borderId="32" xfId="0" applyFont="1" applyFill="1" applyBorder="1" applyAlignment="1">
      <alignment horizontal="center" vertical="center" wrapText="1"/>
    </xf>
    <xf numFmtId="0" fontId="2" fillId="2" borderId="47" xfId="0" applyFont="1" applyFill="1" applyBorder="1" applyAlignment="1">
      <alignment horizontal="center"/>
    </xf>
    <xf numFmtId="0" fontId="2" fillId="2" borderId="16" xfId="0" applyFont="1" applyFill="1" applyBorder="1" applyAlignment="1">
      <alignment horizontal="center"/>
    </xf>
    <xf numFmtId="0" fontId="0" fillId="2" borderId="15" xfId="0" applyFill="1" applyBorder="1" applyAlignment="1">
      <alignment horizontal="center"/>
    </xf>
    <xf numFmtId="0" fontId="0" fillId="2" borderId="50" xfId="0" applyFill="1" applyBorder="1" applyAlignment="1">
      <alignment horizontal="center"/>
    </xf>
    <xf numFmtId="0" fontId="0" fillId="2" borderId="47" xfId="0" applyFill="1" applyBorder="1" applyAlignment="1">
      <alignment horizontal="center"/>
    </xf>
    <xf numFmtId="0" fontId="0" fillId="2" borderId="16" xfId="0" applyFill="1" applyBorder="1" applyAlignment="1">
      <alignment horizontal="center"/>
    </xf>
    <xf numFmtId="0" fontId="2" fillId="2" borderId="36" xfId="0" applyFont="1" applyFill="1" applyBorder="1" applyAlignment="1">
      <alignment horizontal="center" vertical="center" wrapText="1"/>
    </xf>
    <xf numFmtId="0" fontId="2" fillId="2" borderId="32" xfId="0" applyFont="1" applyFill="1" applyBorder="1" applyAlignment="1">
      <alignment horizontal="center" vertical="center" wrapText="1"/>
    </xf>
    <xf numFmtId="0" fontId="2" fillId="2" borderId="4"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0" fillId="2" borderId="17" xfId="0" applyFill="1" applyBorder="1" applyAlignment="1">
      <alignment horizontal="center" vertical="center"/>
    </xf>
    <xf numFmtId="0" fontId="0" fillId="2" borderId="46" xfId="0" applyFill="1" applyBorder="1" applyAlignment="1">
      <alignment horizontal="center" vertical="center"/>
    </xf>
    <xf numFmtId="0" fontId="0" fillId="2" borderId="4" xfId="0" applyFill="1" applyBorder="1" applyAlignment="1">
      <alignment horizontal="center" vertical="center"/>
    </xf>
    <xf numFmtId="0" fontId="0" fillId="2" borderId="6" xfId="0" applyFill="1" applyBorder="1" applyAlignment="1">
      <alignment horizontal="center" vertical="center"/>
    </xf>
    <xf numFmtId="0" fontId="2" fillId="2" borderId="70" xfId="0" applyFont="1" applyFill="1" applyBorder="1" applyAlignment="1">
      <alignment horizontal="center" vertical="center" wrapText="1"/>
    </xf>
    <xf numFmtId="0" fontId="2" fillId="2" borderId="71" xfId="0" applyFont="1" applyFill="1" applyBorder="1" applyAlignment="1">
      <alignment horizontal="center" vertical="center" wrapText="1"/>
    </xf>
    <xf numFmtId="0" fontId="10" fillId="2" borderId="72" xfId="0" applyFont="1" applyFill="1" applyBorder="1" applyAlignment="1">
      <alignment horizontal="center" wrapText="1"/>
    </xf>
    <xf numFmtId="0" fontId="10" fillId="2" borderId="73" xfId="0" applyFont="1" applyFill="1" applyBorder="1" applyAlignment="1">
      <alignment horizontal="center" wrapText="1"/>
    </xf>
    <xf numFmtId="0" fontId="10" fillId="2" borderId="74" xfId="0" applyFont="1" applyFill="1" applyBorder="1" applyAlignment="1">
      <alignment horizontal="center" wrapText="1"/>
    </xf>
    <xf numFmtId="0" fontId="10" fillId="2" borderId="75" xfId="0" applyFont="1" applyFill="1" applyBorder="1" applyAlignment="1">
      <alignment horizontal="center" wrapText="1"/>
    </xf>
    <xf numFmtId="0" fontId="2" fillId="2" borderId="76" xfId="0" applyFont="1" applyFill="1" applyBorder="1" applyAlignment="1">
      <alignment horizontal="center" vertical="center"/>
    </xf>
    <xf numFmtId="0" fontId="2" fillId="2" borderId="77" xfId="0" applyFont="1" applyFill="1" applyBorder="1" applyAlignment="1">
      <alignment horizontal="center" vertical="center"/>
    </xf>
    <xf numFmtId="0" fontId="2" fillId="2" borderId="58" xfId="0" applyFont="1" applyFill="1" applyBorder="1" applyAlignment="1">
      <alignment horizontal="center"/>
    </xf>
    <xf numFmtId="0" fontId="2" fillId="2" borderId="57" xfId="0" applyFont="1" applyFill="1" applyBorder="1" applyAlignment="1">
      <alignment horizontal="center"/>
    </xf>
    <xf numFmtId="0" fontId="2" fillId="2" borderId="61" xfId="0" applyFont="1" applyFill="1" applyBorder="1" applyAlignment="1">
      <alignment horizontal="center"/>
    </xf>
    <xf numFmtId="0" fontId="2" fillId="2" borderId="63" xfId="0" applyFont="1" applyFill="1" applyBorder="1" applyAlignment="1">
      <alignment horizontal="center"/>
    </xf>
    <xf numFmtId="0" fontId="1" fillId="4" borderId="23" xfId="0" applyFont="1" applyFill="1" applyBorder="1" applyAlignment="1">
      <alignment horizontal="center" vertical="center"/>
    </xf>
    <xf numFmtId="0" fontId="1" fillId="4" borderId="0" xfId="0" applyFont="1" applyFill="1" applyAlignment="1">
      <alignment horizontal="center" vertical="center"/>
    </xf>
    <xf numFmtId="0" fontId="1" fillId="4" borderId="23" xfId="0" applyFont="1" applyFill="1" applyBorder="1" applyAlignment="1">
      <alignment horizontal="center" vertical="center" wrapText="1"/>
    </xf>
    <xf numFmtId="0" fontId="1" fillId="4" borderId="0" xfId="0" applyFont="1" applyFill="1" applyAlignment="1">
      <alignment horizontal="center" vertical="center" wrapText="1"/>
    </xf>
    <xf numFmtId="0" fontId="1" fillId="4" borderId="40" xfId="0" applyFont="1" applyFill="1" applyBorder="1" applyAlignment="1">
      <alignment horizontal="center"/>
    </xf>
    <xf numFmtId="0" fontId="1" fillId="4" borderId="42" xfId="0" applyFont="1" applyFill="1" applyBorder="1" applyAlignment="1">
      <alignment horizontal="center"/>
    </xf>
    <xf numFmtId="0" fontId="1" fillId="4" borderId="39" xfId="0" applyFont="1" applyFill="1" applyBorder="1" applyAlignment="1">
      <alignment horizontal="center"/>
    </xf>
    <xf numFmtId="0" fontId="1" fillId="4" borderId="51" xfId="0" applyFont="1" applyFill="1" applyBorder="1" applyAlignment="1">
      <alignment horizontal="center"/>
    </xf>
    <xf numFmtId="0" fontId="2" fillId="2" borderId="36" xfId="0" applyFont="1" applyFill="1" applyBorder="1" applyAlignment="1">
      <alignment horizontal="center"/>
    </xf>
    <xf numFmtId="0" fontId="2" fillId="2" borderId="32" xfId="0" applyFont="1" applyFill="1" applyBorder="1" applyAlignment="1">
      <alignment horizontal="center"/>
    </xf>
    <xf numFmtId="0" fontId="2" fillId="2" borderId="18" xfId="0" applyFont="1" applyFill="1" applyBorder="1" applyAlignment="1">
      <alignment horizontal="center" vertical="center"/>
    </xf>
    <xf numFmtId="0" fontId="2" fillId="2" borderId="20" xfId="0" applyFont="1" applyFill="1" applyBorder="1" applyAlignment="1">
      <alignment horizontal="center" vertical="center"/>
    </xf>
    <xf numFmtId="0" fontId="2" fillId="2" borderId="34" xfId="0" applyFont="1" applyFill="1" applyBorder="1" applyAlignment="1">
      <alignment horizontal="center"/>
    </xf>
    <xf numFmtId="0" fontId="2" fillId="2" borderId="22" xfId="0" applyFont="1" applyFill="1" applyBorder="1" applyAlignment="1">
      <alignment horizontal="center" vertical="center" wrapText="1"/>
    </xf>
    <xf numFmtId="0" fontId="2" fillId="2" borderId="18" xfId="0" applyFont="1" applyFill="1" applyBorder="1" applyAlignment="1">
      <alignment horizontal="center" vertical="center" wrapText="1"/>
    </xf>
    <xf numFmtId="0" fontId="2" fillId="2" borderId="20" xfId="0" applyFont="1" applyFill="1" applyBorder="1" applyAlignment="1">
      <alignment horizontal="center" vertical="center" wrapText="1"/>
    </xf>
    <xf numFmtId="0" fontId="2" fillId="2" borderId="21" xfId="0" applyFont="1" applyFill="1" applyBorder="1" applyAlignment="1">
      <alignment horizontal="center" vertical="center" wrapText="1"/>
    </xf>
    <xf numFmtId="0" fontId="2" fillId="2" borderId="21" xfId="0" applyFont="1" applyFill="1" applyBorder="1" applyAlignment="1">
      <alignment horizontal="center" vertical="center"/>
    </xf>
    <xf numFmtId="0" fontId="1" fillId="4" borderId="0" xfId="0" applyFont="1" applyFill="1" applyAlignment="1">
      <alignment horizontal="center"/>
    </xf>
    <xf numFmtId="0" fontId="22" fillId="2" borderId="22" xfId="0" applyFont="1" applyFill="1" applyBorder="1" applyAlignment="1">
      <alignment horizontal="center" vertical="center" wrapText="1"/>
    </xf>
    <xf numFmtId="0" fontId="22" fillId="2" borderId="49" xfId="0" applyFont="1" applyFill="1" applyBorder="1" applyAlignment="1">
      <alignment horizontal="center" vertical="center" wrapText="1"/>
    </xf>
    <xf numFmtId="0" fontId="22" fillId="2" borderId="23" xfId="0" applyFont="1" applyFill="1" applyBorder="1" applyAlignment="1">
      <alignment horizontal="center" vertical="center" wrapText="1"/>
    </xf>
    <xf numFmtId="0" fontId="22" fillId="2" borderId="33" xfId="0" applyFont="1" applyFill="1" applyBorder="1" applyAlignment="1">
      <alignment horizontal="center" vertical="center" wrapText="1"/>
    </xf>
    <xf numFmtId="0" fontId="22" fillId="2" borderId="55" xfId="0" applyFont="1" applyFill="1" applyBorder="1" applyAlignment="1">
      <alignment horizontal="center" vertical="center" wrapText="1"/>
    </xf>
    <xf numFmtId="0" fontId="22" fillId="2" borderId="56" xfId="0" applyFont="1" applyFill="1" applyBorder="1" applyAlignment="1">
      <alignment horizontal="center" vertical="center" wrapText="1"/>
    </xf>
    <xf numFmtId="0" fontId="1" fillId="4" borderId="55" xfId="0" applyFont="1" applyFill="1" applyBorder="1" applyAlignment="1">
      <alignment horizontal="center" vertical="center" wrapText="1"/>
    </xf>
    <xf numFmtId="0" fontId="1" fillId="4" borderId="35" xfId="0" applyFont="1" applyFill="1" applyBorder="1" applyAlignment="1">
      <alignment horizontal="center" vertical="center" wrapText="1"/>
    </xf>
    <xf numFmtId="0" fontId="27" fillId="2" borderId="36" xfId="0" applyFont="1" applyFill="1" applyBorder="1" applyAlignment="1">
      <alignment horizontal="center" vertical="center" wrapText="1"/>
    </xf>
    <xf numFmtId="0" fontId="27" fillId="2" borderId="32" xfId="0" applyFont="1" applyFill="1" applyBorder="1" applyAlignment="1">
      <alignment horizontal="center" vertical="center" wrapText="1"/>
    </xf>
    <xf numFmtId="0" fontId="27" fillId="2" borderId="34" xfId="0" applyFont="1" applyFill="1" applyBorder="1" applyAlignment="1">
      <alignment horizontal="center" vertical="center" wrapText="1"/>
    </xf>
    <xf numFmtId="0" fontId="0" fillId="2" borderId="22" xfId="0" applyFill="1" applyBorder="1" applyAlignment="1">
      <alignment horizontal="left" vertical="top" wrapText="1"/>
    </xf>
    <xf numFmtId="0" fontId="0" fillId="2" borderId="38" xfId="0" applyFill="1" applyBorder="1" applyAlignment="1">
      <alignment horizontal="left" vertical="top" wrapText="1"/>
    </xf>
    <xf numFmtId="0" fontId="0" fillId="2" borderId="49" xfId="0" applyFill="1" applyBorder="1" applyAlignment="1">
      <alignment horizontal="left" vertical="top" wrapText="1"/>
    </xf>
    <xf numFmtId="0" fontId="0" fillId="2" borderId="23" xfId="0" applyFill="1" applyBorder="1" applyAlignment="1">
      <alignment horizontal="left" vertical="top" wrapText="1"/>
    </xf>
    <xf numFmtId="0" fontId="0" fillId="2" borderId="0" xfId="0" applyFill="1" applyAlignment="1">
      <alignment horizontal="left" vertical="top" wrapText="1"/>
    </xf>
    <xf numFmtId="0" fontId="0" fillId="2" borderId="33" xfId="0" applyFill="1" applyBorder="1" applyAlignment="1">
      <alignment horizontal="left" vertical="top" wrapText="1"/>
    </xf>
    <xf numFmtId="0" fontId="0" fillId="2" borderId="55" xfId="0" applyFill="1" applyBorder="1" applyAlignment="1">
      <alignment horizontal="left" vertical="top" wrapText="1"/>
    </xf>
    <xf numFmtId="0" fontId="0" fillId="2" borderId="35" xfId="0" applyFill="1" applyBorder="1" applyAlignment="1">
      <alignment horizontal="left" vertical="top" wrapText="1"/>
    </xf>
    <xf numFmtId="0" fontId="0" fillId="2" borderId="56" xfId="0" applyFill="1" applyBorder="1" applyAlignment="1">
      <alignment horizontal="left" vertical="top" wrapText="1"/>
    </xf>
    <xf numFmtId="0" fontId="2" fillId="2" borderId="8" xfId="0" applyFont="1" applyFill="1" applyBorder="1" applyAlignment="1">
      <alignment horizontal="center" vertical="center" wrapText="1"/>
    </xf>
    <xf numFmtId="0" fontId="2" fillId="2" borderId="9" xfId="0" applyFont="1" applyFill="1" applyBorder="1" applyAlignment="1">
      <alignment horizontal="center" vertical="center" wrapText="1"/>
    </xf>
    <xf numFmtId="0" fontId="2" fillId="2" borderId="10" xfId="0" applyFont="1" applyFill="1" applyBorder="1" applyAlignment="1">
      <alignment horizontal="center" vertical="center" wrapText="1"/>
    </xf>
    <xf numFmtId="0" fontId="2" fillId="2" borderId="19" xfId="0" applyFont="1" applyFill="1" applyBorder="1" applyAlignment="1">
      <alignment horizontal="center" vertical="center" wrapText="1"/>
    </xf>
    <xf numFmtId="0" fontId="25" fillId="2" borderId="28" xfId="0" applyFont="1" applyFill="1" applyBorder="1" applyAlignment="1">
      <alignment horizontal="center" vertical="center" textRotation="90" wrapText="1"/>
    </xf>
    <xf numFmtId="0" fontId="25" fillId="2" borderId="30" xfId="0" applyFont="1" applyFill="1" applyBorder="1" applyAlignment="1">
      <alignment horizontal="center" vertical="center" textRotation="90" wrapText="1"/>
    </xf>
    <xf numFmtId="0" fontId="25" fillId="2" borderId="47" xfId="0" applyFont="1" applyFill="1" applyBorder="1" applyAlignment="1">
      <alignment horizontal="center" vertical="center" textRotation="90" wrapText="1"/>
    </xf>
    <xf numFmtId="0" fontId="2" fillId="2" borderId="8" xfId="0" applyFont="1" applyFill="1" applyBorder="1" applyAlignment="1">
      <alignment horizontal="center"/>
    </xf>
    <xf numFmtId="0" fontId="2" fillId="2" borderId="9" xfId="0" applyFont="1" applyFill="1" applyBorder="1" applyAlignment="1">
      <alignment horizontal="center"/>
    </xf>
    <xf numFmtId="0" fontId="2" fillId="2" borderId="10" xfId="0" applyFont="1" applyFill="1" applyBorder="1" applyAlignment="1">
      <alignment horizontal="center"/>
    </xf>
    <xf numFmtId="0" fontId="1" fillId="4" borderId="79" xfId="0" applyFont="1" applyFill="1" applyBorder="1" applyAlignment="1">
      <alignment horizontal="center" vertical="center" textRotation="90"/>
    </xf>
    <xf numFmtId="0" fontId="1" fillId="4" borderId="37" xfId="0" applyFont="1" applyFill="1" applyBorder="1" applyAlignment="1">
      <alignment horizontal="center" vertical="center" textRotation="90"/>
    </xf>
    <xf numFmtId="0" fontId="1" fillId="4" borderId="78" xfId="0" applyFont="1" applyFill="1" applyBorder="1" applyAlignment="1">
      <alignment horizontal="center" vertical="center" textRotation="90"/>
    </xf>
    <xf numFmtId="0" fontId="4" fillId="2" borderId="53" xfId="0" applyFont="1" applyFill="1" applyBorder="1" applyAlignment="1">
      <alignment horizontal="center" vertical="center" textRotation="90" wrapText="1"/>
    </xf>
    <xf numFmtId="0" fontId="4" fillId="2" borderId="30" xfId="0" applyFont="1" applyFill="1" applyBorder="1" applyAlignment="1">
      <alignment horizontal="center" vertical="center" textRotation="90" wrapText="1"/>
    </xf>
    <xf numFmtId="0" fontId="4" fillId="2" borderId="47" xfId="0" applyFont="1" applyFill="1" applyBorder="1" applyAlignment="1">
      <alignment horizontal="center" vertical="center" textRotation="90" wrapText="1"/>
    </xf>
    <xf numFmtId="0" fontId="4" fillId="2" borderId="28" xfId="0" applyFont="1" applyFill="1" applyBorder="1" applyAlignment="1">
      <alignment horizontal="center" vertical="center" textRotation="90" wrapText="1"/>
    </xf>
    <xf numFmtId="0" fontId="1" fillId="4" borderId="22" xfId="0" applyFont="1" applyFill="1" applyBorder="1" applyAlignment="1">
      <alignment horizontal="center"/>
    </xf>
    <xf numFmtId="0" fontId="1" fillId="4" borderId="38" xfId="0" applyFont="1" applyFill="1" applyBorder="1" applyAlignment="1">
      <alignment horizontal="center"/>
    </xf>
    <xf numFmtId="0" fontId="1" fillId="4" borderId="47" xfId="0" applyFont="1" applyFill="1" applyBorder="1" applyAlignment="1">
      <alignment horizontal="center"/>
    </xf>
    <xf numFmtId="0" fontId="1" fillId="4" borderId="48" xfId="0" applyFont="1" applyFill="1" applyBorder="1" applyAlignment="1">
      <alignment horizontal="center"/>
    </xf>
    <xf numFmtId="0" fontId="1" fillId="4" borderId="50" xfId="0" applyFont="1" applyFill="1" applyBorder="1" applyAlignment="1">
      <alignment horizontal="center"/>
    </xf>
    <xf numFmtId="0" fontId="2" fillId="2" borderId="28" xfId="0" applyFont="1" applyFill="1" applyBorder="1" applyAlignment="1">
      <alignment horizontal="center" vertical="center" textRotation="90" wrapText="1"/>
    </xf>
    <xf numFmtId="0" fontId="2" fillId="2" borderId="47" xfId="0" applyFont="1" applyFill="1" applyBorder="1" applyAlignment="1">
      <alignment horizontal="center" vertical="center" textRotation="90" wrapText="1"/>
    </xf>
    <xf numFmtId="0" fontId="2" fillId="2" borderId="30" xfId="0" applyFont="1" applyFill="1" applyBorder="1" applyAlignment="1">
      <alignment horizontal="center" vertical="center" textRotation="90" wrapText="1"/>
    </xf>
    <xf numFmtId="0" fontId="1" fillId="4" borderId="49" xfId="0" applyFont="1" applyFill="1" applyBorder="1" applyAlignment="1">
      <alignment horizontal="center" vertical="center" textRotation="90"/>
    </xf>
    <xf numFmtId="0" fontId="1" fillId="4" borderId="33" xfId="0" applyFont="1" applyFill="1" applyBorder="1" applyAlignment="1">
      <alignment horizontal="center" vertical="center" textRotation="90"/>
    </xf>
    <xf numFmtId="0" fontId="1" fillId="4" borderId="49" xfId="0" applyFont="1" applyFill="1" applyBorder="1" applyAlignment="1">
      <alignment horizontal="center"/>
    </xf>
    <xf numFmtId="0" fontId="2" fillId="2" borderId="0" xfId="0" applyFont="1" applyFill="1" applyAlignment="1">
      <alignment horizontal="center"/>
    </xf>
    <xf numFmtId="0" fontId="2" fillId="2" borderId="0" xfId="0" applyFont="1" applyFill="1" applyAlignment="1">
      <alignment horizontal="center" vertical="center" wrapText="1"/>
    </xf>
    <xf numFmtId="0" fontId="2" fillId="2" borderId="28" xfId="0" applyFont="1" applyFill="1" applyBorder="1" applyAlignment="1">
      <alignment horizontal="center" vertical="center" wrapText="1"/>
    </xf>
    <xf numFmtId="0" fontId="2" fillId="2" borderId="30" xfId="0" applyFont="1" applyFill="1" applyBorder="1" applyAlignment="1">
      <alignment horizontal="center" vertical="center" wrapText="1"/>
    </xf>
    <xf numFmtId="0" fontId="2" fillId="2" borderId="47" xfId="0" applyFont="1" applyFill="1" applyBorder="1" applyAlignment="1">
      <alignment horizontal="center" vertical="center" wrapText="1"/>
    </xf>
    <xf numFmtId="0" fontId="1" fillId="4" borderId="18" xfId="0" applyFont="1" applyFill="1" applyBorder="1" applyAlignment="1">
      <alignment horizontal="center" vertical="center" wrapText="1"/>
    </xf>
    <xf numFmtId="0" fontId="1" fillId="4" borderId="20" xfId="0" applyFont="1" applyFill="1" applyBorder="1" applyAlignment="1">
      <alignment horizontal="center" vertical="center" wrapText="1"/>
    </xf>
    <xf numFmtId="0" fontId="1" fillId="4" borderId="34" xfId="0" applyFont="1" applyFill="1" applyBorder="1" applyAlignment="1">
      <alignment horizontal="center"/>
    </xf>
    <xf numFmtId="0" fontId="1" fillId="4" borderId="32" xfId="0" applyFont="1" applyFill="1" applyBorder="1" applyAlignment="1">
      <alignment horizontal="center"/>
    </xf>
    <xf numFmtId="0" fontId="1" fillId="4" borderId="38" xfId="0" applyFont="1" applyFill="1" applyBorder="1" applyAlignment="1">
      <alignment horizontal="center" vertical="center"/>
    </xf>
    <xf numFmtId="0" fontId="1" fillId="4" borderId="18" xfId="0" applyFont="1" applyFill="1" applyBorder="1" applyAlignment="1">
      <alignment horizontal="center" vertical="center"/>
    </xf>
    <xf numFmtId="0" fontId="1" fillId="4" borderId="20" xfId="0" applyFont="1" applyFill="1" applyBorder="1" applyAlignment="1">
      <alignment horizontal="center" vertical="center"/>
    </xf>
    <xf numFmtId="0" fontId="1" fillId="4" borderId="64" xfId="0" applyFont="1" applyFill="1" applyBorder="1" applyAlignment="1">
      <alignment horizontal="center" vertical="center" textRotation="90" wrapText="1"/>
    </xf>
    <xf numFmtId="0" fontId="1" fillId="4" borderId="33" xfId="0" applyFont="1" applyFill="1" applyBorder="1" applyAlignment="1">
      <alignment horizontal="center" vertical="center" textRotation="90" wrapText="1"/>
    </xf>
    <xf numFmtId="0" fontId="1" fillId="4" borderId="0" xfId="0" applyFont="1" applyFill="1" applyAlignment="1">
      <alignment horizontal="center" vertical="center" textRotation="90" wrapText="1"/>
    </xf>
    <xf numFmtId="0" fontId="6" fillId="0" borderId="22" xfId="0" applyFont="1" applyBorder="1" applyAlignment="1">
      <alignment horizontal="center" vertical="center" wrapText="1"/>
    </xf>
    <xf numFmtId="0" fontId="6" fillId="0" borderId="38" xfId="0" applyFont="1" applyBorder="1" applyAlignment="1">
      <alignment horizontal="center" vertical="center" wrapText="1"/>
    </xf>
    <xf numFmtId="0" fontId="6" fillId="0" borderId="49" xfId="0" applyFont="1" applyBorder="1" applyAlignment="1">
      <alignment horizontal="center" vertical="center" wrapText="1"/>
    </xf>
    <xf numFmtId="0" fontId="2" fillId="2" borderId="0" xfId="0" applyFont="1" applyFill="1" applyAlignment="1">
      <alignment horizontal="center" wrapText="1"/>
    </xf>
    <xf numFmtId="0" fontId="1" fillId="4" borderId="56" xfId="0" applyFont="1" applyFill="1" applyBorder="1" applyAlignment="1">
      <alignment horizontal="center" vertical="center" wrapText="1"/>
    </xf>
    <xf numFmtId="0" fontId="0" fillId="2" borderId="18" xfId="0" applyFill="1" applyBorder="1" applyAlignment="1">
      <alignment horizontal="center" vertical="center" wrapText="1"/>
    </xf>
    <xf numFmtId="0" fontId="0" fillId="2" borderId="20" xfId="0" applyFill="1" applyBorder="1" applyAlignment="1">
      <alignment horizontal="center" vertical="center" wrapText="1"/>
    </xf>
    <xf numFmtId="0" fontId="0" fillId="2" borderId="21" xfId="0" applyFill="1" applyBorder="1" applyAlignment="1">
      <alignment horizontal="center" vertical="center" wrapText="1"/>
    </xf>
    <xf numFmtId="0" fontId="1" fillId="4" borderId="18" xfId="0" applyFont="1" applyFill="1" applyBorder="1" applyAlignment="1">
      <alignment horizontal="center" vertical="center" textRotation="90" wrapText="1"/>
    </xf>
    <xf numFmtId="0" fontId="1" fillId="4" borderId="20" xfId="0" applyFont="1" applyFill="1" applyBorder="1" applyAlignment="1">
      <alignment horizontal="center" vertical="center" textRotation="90" wrapText="1"/>
    </xf>
    <xf numFmtId="0" fontId="1" fillId="4" borderId="21" xfId="0" applyFont="1" applyFill="1" applyBorder="1" applyAlignment="1">
      <alignment horizontal="center" vertical="center" textRotation="90" wrapText="1"/>
    </xf>
    <xf numFmtId="0" fontId="2" fillId="2" borderId="66" xfId="0" applyFont="1" applyFill="1" applyBorder="1" applyAlignment="1">
      <alignment horizontal="center" vertical="center" textRotation="90" wrapText="1"/>
    </xf>
    <xf numFmtId="0" fontId="2" fillId="2" borderId="67" xfId="0" applyFont="1" applyFill="1" applyBorder="1" applyAlignment="1">
      <alignment horizontal="center" vertical="center" textRotation="90" wrapText="1"/>
    </xf>
    <xf numFmtId="0" fontId="2" fillId="2" borderId="68" xfId="0" applyFont="1" applyFill="1" applyBorder="1" applyAlignment="1">
      <alignment horizontal="center" vertical="center" textRotation="90" wrapText="1"/>
    </xf>
    <xf numFmtId="0" fontId="0" fillId="2" borderId="22" xfId="0" applyFill="1" applyBorder="1" applyAlignment="1">
      <alignment horizontal="center" vertical="center" wrapText="1"/>
    </xf>
    <xf numFmtId="0" fontId="0" fillId="2" borderId="23" xfId="0" applyFill="1" applyBorder="1" applyAlignment="1">
      <alignment horizontal="center" vertical="center" wrapText="1"/>
    </xf>
    <xf numFmtId="0" fontId="0" fillId="2" borderId="55" xfId="0" applyFill="1" applyBorder="1" applyAlignment="1">
      <alignment horizontal="center" vertical="center" wrapText="1"/>
    </xf>
    <xf numFmtId="0" fontId="4" fillId="2" borderId="67" xfId="0" applyFont="1" applyFill="1" applyBorder="1" applyAlignment="1">
      <alignment horizontal="center" vertical="center" textRotation="90" wrapText="1"/>
    </xf>
    <xf numFmtId="0" fontId="0" fillId="2" borderId="22" xfId="0" applyFill="1" applyBorder="1" applyAlignment="1">
      <alignment horizontal="center" vertical="top" wrapText="1"/>
    </xf>
    <xf numFmtId="0" fontId="0" fillId="2" borderId="38" xfId="0" applyFill="1" applyBorder="1" applyAlignment="1">
      <alignment horizontal="center" vertical="top" wrapText="1"/>
    </xf>
    <xf numFmtId="0" fontId="0" fillId="2" borderId="49" xfId="0" applyFill="1" applyBorder="1" applyAlignment="1">
      <alignment horizontal="center" vertical="top" wrapText="1"/>
    </xf>
    <xf numFmtId="0" fontId="0" fillId="2" borderId="23" xfId="0" applyFill="1" applyBorder="1" applyAlignment="1">
      <alignment horizontal="center" vertical="top" wrapText="1"/>
    </xf>
    <xf numFmtId="0" fontId="0" fillId="2" borderId="0" xfId="0" applyFill="1" applyAlignment="1">
      <alignment horizontal="center" vertical="top" wrapText="1"/>
    </xf>
    <xf numFmtId="0" fontId="0" fillId="2" borderId="33" xfId="0" applyFill="1" applyBorder="1" applyAlignment="1">
      <alignment horizontal="center" vertical="top" wrapText="1"/>
    </xf>
    <xf numFmtId="0" fontId="0" fillId="2" borderId="55" xfId="0" applyFill="1" applyBorder="1" applyAlignment="1">
      <alignment horizontal="center" vertical="top" wrapText="1"/>
    </xf>
    <xf numFmtId="0" fontId="0" fillId="2" borderId="35" xfId="0" applyFill="1" applyBorder="1" applyAlignment="1">
      <alignment horizontal="center" vertical="top" wrapText="1"/>
    </xf>
    <xf numFmtId="0" fontId="0" fillId="2" borderId="56" xfId="0" applyFill="1" applyBorder="1" applyAlignment="1">
      <alignment horizontal="center" vertical="top" wrapText="1"/>
    </xf>
    <xf numFmtId="0" fontId="0" fillId="2" borderId="8"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23" fillId="2" borderId="22" xfId="0" applyFont="1" applyFill="1" applyBorder="1" applyAlignment="1">
      <alignment horizontal="center" vertical="center" textRotation="90" wrapText="1"/>
    </xf>
    <xf numFmtId="0" fontId="23" fillId="2" borderId="23" xfId="0" applyFont="1" applyFill="1" applyBorder="1" applyAlignment="1">
      <alignment horizontal="center" vertical="center" textRotation="90" wrapText="1"/>
    </xf>
    <xf numFmtId="0" fontId="23" fillId="2" borderId="55" xfId="0" applyFont="1" applyFill="1" applyBorder="1" applyAlignment="1">
      <alignment horizontal="center" vertical="center" textRotation="90" wrapText="1"/>
    </xf>
    <xf numFmtId="0" fontId="13" fillId="2" borderId="18" xfId="0" applyFont="1" applyFill="1" applyBorder="1" applyAlignment="1">
      <alignment horizontal="center" vertical="center" wrapText="1"/>
    </xf>
    <xf numFmtId="0" fontId="13" fillId="2" borderId="20" xfId="0" applyFont="1" applyFill="1" applyBorder="1" applyAlignment="1">
      <alignment horizontal="center" vertical="center" wrapText="1"/>
    </xf>
    <xf numFmtId="0" fontId="13" fillId="2" borderId="21" xfId="0" applyFont="1" applyFill="1" applyBorder="1" applyAlignment="1">
      <alignment horizontal="center" vertical="center" wrapText="1"/>
    </xf>
    <xf numFmtId="0" fontId="4" fillId="2" borderId="66" xfId="0" applyFont="1" applyFill="1" applyBorder="1" applyAlignment="1">
      <alignment horizontal="center" vertical="center" textRotation="90" wrapText="1"/>
    </xf>
    <xf numFmtId="0" fontId="4" fillId="2" borderId="68" xfId="0" applyFont="1" applyFill="1" applyBorder="1" applyAlignment="1">
      <alignment horizontal="center" vertical="center" textRotation="90" wrapText="1"/>
    </xf>
    <xf numFmtId="0" fontId="13" fillId="4" borderId="29" xfId="0" applyFont="1" applyFill="1" applyBorder="1" applyAlignment="1">
      <alignment horizontal="center" vertical="center" wrapText="1"/>
    </xf>
    <xf numFmtId="0" fontId="13" fillId="4" borderId="1" xfId="0" applyFont="1" applyFill="1" applyBorder="1" applyAlignment="1">
      <alignment horizontal="center" vertical="center" wrapText="1"/>
    </xf>
    <xf numFmtId="0" fontId="13" fillId="4" borderId="48" xfId="0" applyFont="1" applyFill="1" applyBorder="1" applyAlignment="1">
      <alignment horizontal="center" vertical="center" wrapText="1"/>
    </xf>
    <xf numFmtId="0" fontId="13" fillId="4" borderId="12" xfId="0" applyFont="1" applyFill="1" applyBorder="1" applyAlignment="1">
      <alignment horizontal="center" vertical="center" wrapText="1"/>
    </xf>
    <xf numFmtId="0" fontId="13" fillId="4" borderId="7" xfId="0" applyFont="1" applyFill="1" applyBorder="1" applyAlignment="1">
      <alignment horizontal="center" vertical="center" wrapText="1"/>
    </xf>
    <xf numFmtId="0" fontId="13" fillId="4" borderId="15" xfId="0" applyFont="1" applyFill="1" applyBorder="1" applyAlignment="1">
      <alignment horizontal="center" vertical="center" wrapText="1"/>
    </xf>
    <xf numFmtId="0" fontId="2" fillId="2" borderId="65" xfId="0" applyFont="1" applyFill="1" applyBorder="1" applyAlignment="1">
      <alignment horizontal="center" vertical="center" textRotation="90" wrapText="1"/>
    </xf>
    <xf numFmtId="0" fontId="0" fillId="2" borderId="19" xfId="0" applyFill="1" applyBorder="1" applyAlignment="1">
      <alignment horizontal="center" vertical="center" wrapText="1"/>
    </xf>
    <xf numFmtId="0" fontId="4" fillId="2" borderId="69" xfId="0" applyFont="1" applyFill="1" applyBorder="1" applyAlignment="1">
      <alignment horizontal="center" vertical="center" textRotation="90" wrapText="1"/>
    </xf>
    <xf numFmtId="0" fontId="0" fillId="2" borderId="12" xfId="0" applyFill="1" applyBorder="1" applyAlignment="1">
      <alignment horizontal="center" vertical="center" wrapText="1"/>
    </xf>
    <xf numFmtId="0" fontId="0" fillId="2" borderId="7" xfId="0" applyFill="1" applyBorder="1" applyAlignment="1">
      <alignment horizontal="center" vertical="center" wrapText="1"/>
    </xf>
    <xf numFmtId="0" fontId="0" fillId="2" borderId="15" xfId="0" applyFill="1" applyBorder="1" applyAlignment="1">
      <alignment horizontal="center" vertical="center" wrapText="1"/>
    </xf>
    <xf numFmtId="0" fontId="0" fillId="9" borderId="29" xfId="0" applyFill="1" applyBorder="1" applyAlignment="1">
      <alignment horizontal="center" vertical="center" wrapText="1"/>
    </xf>
    <xf numFmtId="0" fontId="0" fillId="9" borderId="1" xfId="0" applyFill="1" applyBorder="1" applyAlignment="1">
      <alignment horizontal="center" vertical="center" wrapText="1"/>
    </xf>
    <xf numFmtId="0" fontId="0" fillId="9" borderId="48" xfId="0" applyFill="1" applyBorder="1" applyAlignment="1">
      <alignment horizontal="center" vertical="center" wrapText="1"/>
    </xf>
    <xf numFmtId="0" fontId="0" fillId="2" borderId="29" xfId="0" applyFill="1" applyBorder="1" applyAlignment="1">
      <alignment horizontal="center" vertical="center" wrapText="1"/>
    </xf>
    <xf numFmtId="0" fontId="0" fillId="2" borderId="1" xfId="0" applyFill="1" applyBorder="1" applyAlignment="1">
      <alignment horizontal="center" vertical="center" wrapText="1"/>
    </xf>
    <xf numFmtId="0" fontId="0" fillId="2" borderId="48" xfId="0" applyFill="1" applyBorder="1" applyAlignment="1">
      <alignment horizontal="center" vertical="center" wrapText="1"/>
    </xf>
    <xf numFmtId="0" fontId="0" fillId="2" borderId="40" xfId="0" applyFill="1" applyBorder="1" applyAlignment="1">
      <alignment horizontal="center" vertical="center" wrapText="1"/>
    </xf>
    <xf numFmtId="0" fontId="0" fillId="2" borderId="58" xfId="0" applyFill="1" applyBorder="1" applyAlignment="1">
      <alignment horizontal="center" vertical="center" wrapText="1"/>
    </xf>
    <xf numFmtId="0" fontId="0" fillId="2" borderId="59" xfId="0" applyFill="1" applyBorder="1" applyAlignment="1">
      <alignment horizontal="center" vertical="center" wrapText="1"/>
    </xf>
    <xf numFmtId="0" fontId="0" fillId="2" borderId="41" xfId="0" applyFill="1" applyBorder="1" applyAlignment="1">
      <alignment horizontal="center" vertical="center" wrapText="1"/>
    </xf>
    <xf numFmtId="0" fontId="0" fillId="2" borderId="60" xfId="0" applyFill="1" applyBorder="1" applyAlignment="1">
      <alignment horizontal="center" vertical="center" wrapText="1"/>
    </xf>
    <xf numFmtId="0" fontId="0" fillId="2" borderId="62" xfId="0" applyFill="1" applyBorder="1" applyAlignment="1">
      <alignment horizontal="center" vertical="center" wrapText="1"/>
    </xf>
    <xf numFmtId="0" fontId="1" fillId="4" borderId="35" xfId="0" applyFont="1" applyFill="1" applyBorder="1" applyAlignment="1">
      <alignment horizontal="center" vertical="center"/>
    </xf>
    <xf numFmtId="0" fontId="0" fillId="2" borderId="41" xfId="0" applyFill="1" applyBorder="1" applyAlignment="1">
      <alignment horizontal="center" wrapText="1"/>
    </xf>
    <xf numFmtId="0" fontId="0" fillId="2" borderId="60" xfId="0" applyFill="1" applyBorder="1" applyAlignment="1">
      <alignment horizontal="center" wrapText="1"/>
    </xf>
    <xf numFmtId="0" fontId="0" fillId="2" borderId="62" xfId="0" applyFill="1" applyBorder="1" applyAlignment="1">
      <alignment horizontal="center" wrapText="1"/>
    </xf>
    <xf numFmtId="0" fontId="0" fillId="9" borderId="41" xfId="0" applyFill="1" applyBorder="1" applyAlignment="1">
      <alignment horizontal="center" vertical="center" wrapText="1"/>
    </xf>
    <xf numFmtId="0" fontId="0" fillId="9" borderId="60" xfId="0" applyFill="1" applyBorder="1" applyAlignment="1">
      <alignment horizontal="center" vertical="center" wrapText="1"/>
    </xf>
    <xf numFmtId="0" fontId="0" fillId="9" borderId="62" xfId="0" applyFill="1" applyBorder="1" applyAlignment="1">
      <alignment horizontal="center" vertical="center" wrapText="1"/>
    </xf>
    <xf numFmtId="0" fontId="10" fillId="2" borderId="43" xfId="0" applyFont="1" applyFill="1" applyBorder="1" applyAlignment="1">
      <alignment horizontal="center" vertical="center" wrapText="1"/>
    </xf>
    <xf numFmtId="0" fontId="10" fillId="2" borderId="44" xfId="0" applyFont="1" applyFill="1" applyBorder="1" applyAlignment="1">
      <alignment horizontal="center" vertical="center" wrapText="1"/>
    </xf>
    <xf numFmtId="0" fontId="10" fillId="2" borderId="50" xfId="0" applyFont="1" applyFill="1" applyBorder="1" applyAlignment="1">
      <alignment horizontal="center" vertical="center" wrapText="1"/>
    </xf>
  </cellXfs>
  <cellStyles count="2">
    <cellStyle name="Normal" xfId="0" builtinId="0"/>
    <cellStyle name="Percent" xfId="1" builtinId="5"/>
  </cellStyles>
  <dxfs count="178">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00B0F0"/>
        </patternFill>
      </fill>
    </dxf>
    <dxf>
      <fill>
        <patternFill>
          <bgColor rgb="FF00B05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FF0000"/>
        </patternFill>
      </fill>
    </dxf>
    <dxf>
      <fill>
        <patternFill>
          <bgColor rgb="FFFFC000"/>
        </patternFill>
      </fill>
    </dxf>
    <dxf>
      <fill>
        <patternFill>
          <bgColor rgb="FFFFFF00"/>
        </patternFill>
      </fill>
    </dxf>
    <dxf>
      <fill>
        <patternFill>
          <bgColor rgb="FF00B0F0"/>
        </patternFill>
      </fill>
    </dxf>
    <dxf>
      <fill>
        <patternFill>
          <bgColor rgb="FF00B05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FF0000"/>
        </patternFill>
      </fill>
    </dxf>
    <dxf>
      <fill>
        <patternFill>
          <bgColor rgb="FFFFC000"/>
        </patternFill>
      </fill>
    </dxf>
    <dxf>
      <fill>
        <patternFill>
          <bgColor rgb="FFFFFF00"/>
        </patternFill>
      </fill>
    </dxf>
    <dxf>
      <fill>
        <patternFill>
          <bgColor rgb="FF00B0F0"/>
        </patternFill>
      </fill>
    </dxf>
    <dxf>
      <fill>
        <patternFill>
          <bgColor rgb="FF00B05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FF0000"/>
        </patternFill>
      </fill>
    </dxf>
    <dxf>
      <fill>
        <patternFill>
          <bgColor rgb="FFFFC000"/>
        </patternFill>
      </fill>
    </dxf>
    <dxf>
      <fill>
        <patternFill>
          <bgColor rgb="FFFFFF00"/>
        </patternFill>
      </fill>
    </dxf>
    <dxf>
      <fill>
        <patternFill>
          <bgColor rgb="FF00B0F0"/>
        </patternFill>
      </fill>
    </dxf>
    <dxf>
      <fill>
        <patternFill>
          <bgColor rgb="FF00B05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FF0000"/>
        </patternFill>
      </fill>
    </dxf>
    <dxf>
      <fill>
        <patternFill>
          <bgColor rgb="FFFFC000"/>
        </patternFill>
      </fill>
    </dxf>
    <dxf>
      <fill>
        <patternFill>
          <bgColor rgb="FFFFFF00"/>
        </patternFill>
      </fill>
    </dxf>
    <dxf>
      <fill>
        <patternFill>
          <bgColor rgb="FF00B0F0"/>
        </patternFill>
      </fill>
    </dxf>
    <dxf>
      <fill>
        <patternFill>
          <bgColor rgb="FF00B05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FF0000"/>
        </patternFill>
      </fill>
    </dxf>
    <dxf>
      <fill>
        <patternFill>
          <bgColor rgb="FFFFC000"/>
        </patternFill>
      </fill>
    </dxf>
    <dxf>
      <fill>
        <patternFill>
          <bgColor rgb="FFFFFF00"/>
        </patternFill>
      </fill>
    </dxf>
    <dxf>
      <fill>
        <patternFill>
          <bgColor rgb="FF00B0F0"/>
        </patternFill>
      </fill>
    </dxf>
    <dxf>
      <fill>
        <patternFill>
          <bgColor rgb="FF00B05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0000"/>
        </patternFill>
      </fill>
    </dxf>
    <dxf>
      <fill>
        <patternFill>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22/11/relationships/FeaturePropertyBag" Target="featurePropertyBag/featurePropertyBag.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activeX/activeX4.xml><?xml version="1.0" encoding="utf-8"?>
<ax:ocx xmlns:ax="http://schemas.microsoft.com/office/2006/activeX" xmlns:r="http://schemas.openxmlformats.org/officeDocument/2006/relationships" ax:classid="{DFD181E0-5E2F-11CE-A449-00AA004A803D}" ax:persistence="persistStreamInit" r:id="rId1"/>
</file>

<file path=xl/activeX/activeX5.xml><?xml version="1.0" encoding="utf-8"?>
<ax:ocx xmlns:ax="http://schemas.microsoft.com/office/2006/activeX" xmlns:r="http://schemas.openxmlformats.org/officeDocument/2006/relationships" ax:classid="{DFD181E0-5E2F-11CE-A449-00AA004A803D}" ax:persistence="persistStreamInit" r:id="rId1"/>
</file>

<file path=xl/activeX/activeX6.xml><?xml version="1.0" encoding="utf-8"?>
<ax:ocx xmlns:ax="http://schemas.microsoft.com/office/2006/activeX" xmlns:r="http://schemas.openxmlformats.org/officeDocument/2006/relationships" ax:classid="{DFD181E0-5E2F-11CE-A449-00AA004A803D}" ax:persistence="persistStreamInit" r:id="rId1"/>
</file>

<file path=xl/activeX/activeX7.xml><?xml version="1.0" encoding="utf-8"?>
<ax:ocx xmlns:ax="http://schemas.microsoft.com/office/2006/activeX" xmlns:r="http://schemas.openxmlformats.org/officeDocument/2006/relationships" ax:classid="{DFD181E0-5E2F-11CE-A449-00AA004A803D}" ax:persistence="persistStreamInit" r:id="rId1"/>
</file>

<file path=xl/activeX/activeX8.xml><?xml version="1.0" encoding="utf-8"?>
<ax:ocx xmlns:ax="http://schemas.microsoft.com/office/2006/activeX" xmlns:r="http://schemas.openxmlformats.org/officeDocument/2006/relationships" ax:classid="{DFD181E0-5E2F-11CE-A449-00AA004A803D}" ax:persistence="persistStreamInit" r:id="rId1"/>
</file>

<file path=xl/activeX/activeX9.xml><?xml version="1.0" encoding="utf-8"?>
<ax:ocx xmlns:ax="http://schemas.microsoft.com/office/2006/activeX" xmlns:r="http://schemas.openxmlformats.org/officeDocument/2006/relationships" ax:classid="{DFD181E0-5E2F-11CE-A449-00AA004A803D}" ax:persistence="persistStreamInit" r:id="rId1"/>
</file>

<file path=xl/activeX/activeX10.xml><?xml version="1.0" encoding="utf-8"?>
<ax:ocx xmlns:ax="http://schemas.microsoft.com/office/2006/activeX" xmlns:r="http://schemas.openxmlformats.org/officeDocument/2006/relationships" ax:classid="{DFD181E0-5E2F-11CE-A449-00AA004A803D}" ax:persistence="persistStreamInit" r:id="rId1"/>
</file>

<file path=xl/activeX/activeX11.xml><?xml version="1.0" encoding="utf-8"?>
<ax:ocx xmlns:ax="http://schemas.microsoft.com/office/2006/activeX" xmlns:r="http://schemas.openxmlformats.org/officeDocument/2006/relationships" ax:classid="{DFD181E0-5E2F-11CE-A449-00AA004A803D}" ax:persistence="persistStreamInit" r:id="rId1"/>
</file>

<file path=xl/activeX/activeX12.xml><?xml version="1.0" encoding="utf-8"?>
<ax:ocx xmlns:ax="http://schemas.microsoft.com/office/2006/activeX" xmlns:r="http://schemas.openxmlformats.org/officeDocument/2006/relationships" ax:classid="{DFD181E0-5E2F-11CE-A449-00AA004A803D}" ax:persistence="persistStreamInit" r:id="rId1"/>
</file>

<file path=xl/activeX/activeX13.xml><?xml version="1.0" encoding="utf-8"?>
<ax:ocx xmlns:ax="http://schemas.microsoft.com/office/2006/activeX" xmlns:r="http://schemas.openxmlformats.org/officeDocument/2006/relationships" ax:classid="{DFD181E0-5E2F-11CE-A449-00AA004A803D}" ax:persistence="persistStreamInit" r:id="rId1"/>
</file>

<file path=xl/activeX/activeX14.xml><?xml version="1.0" encoding="utf-8"?>
<ax:ocx xmlns:ax="http://schemas.microsoft.com/office/2006/activeX" xmlns:r="http://schemas.openxmlformats.org/officeDocument/2006/relationships" ax:classid="{DFD181E0-5E2F-11CE-A449-00AA004A803D}" ax:persistence="persistStreamInit" r:id="rId1"/>
</file>

<file path=xl/activeX/activeX15.xml><?xml version="1.0" encoding="utf-8"?>
<ax:ocx xmlns:ax="http://schemas.microsoft.com/office/2006/activeX" xmlns:r="http://schemas.openxmlformats.org/officeDocument/2006/relationships" ax:classid="{DFD181E0-5E2F-11CE-A449-00AA004A803D}" ax:persistence="persistStreamInit" r:id="rId1"/>
</file>

<file path=xl/activeX/activeX16.xml><?xml version="1.0" encoding="utf-8"?>
<ax:ocx xmlns:ax="http://schemas.microsoft.com/office/2006/activeX" xmlns:r="http://schemas.openxmlformats.org/officeDocument/2006/relationships" ax:classid="{DFD181E0-5E2F-11CE-A449-00AA004A803D}" ax:persistence="persistStreamInit" r:id="rId1"/>
</file>

<file path=xl/activeX/activeX17.xml><?xml version="1.0" encoding="utf-8"?>
<ax:ocx xmlns:ax="http://schemas.microsoft.com/office/2006/activeX" xmlns:r="http://schemas.openxmlformats.org/officeDocument/2006/relationships" ax:classid="{DFD181E0-5E2F-11CE-A449-00AA004A803D}" ax:persistence="persistStreamInit" r:id="rId1"/>
</file>

<file path=xl/activeX/activeX18.xml><?xml version="1.0" encoding="utf-8"?>
<ax:ocx xmlns:ax="http://schemas.microsoft.com/office/2006/activeX" xmlns:r="http://schemas.openxmlformats.org/officeDocument/2006/relationships" ax:classid="{DFD181E0-5E2F-11CE-A449-00AA004A803D}" ax:persistence="persistStreamInit" r:id="rId1"/>
</file>

<file path=xl/activeX/activeX19.xml><?xml version="1.0" encoding="utf-8"?>
<ax:ocx xmlns:ax="http://schemas.microsoft.com/office/2006/activeX" xmlns:r="http://schemas.openxmlformats.org/officeDocument/2006/relationships" ax:classid="{DFD181E0-5E2F-11CE-A449-00AA004A803D}" ax:persistence="persistStreamInit" r:id="rId1"/>
</file>

<file path=xl/activeX/activeX20.xml><?xml version="1.0" encoding="utf-8"?>
<ax:ocx xmlns:ax="http://schemas.microsoft.com/office/2006/activeX" xmlns:r="http://schemas.openxmlformats.org/officeDocument/2006/relationships" ax:classid="{DFD181E0-5E2F-11CE-A449-00AA004A803D}" ax:persistence="persistStreamInit" r:id="rId1"/>
</file>

<file path=xl/activeX/activeX21.xml><?xml version="1.0" encoding="utf-8"?>
<ax:ocx xmlns:ax="http://schemas.microsoft.com/office/2006/activeX" xmlns:r="http://schemas.openxmlformats.org/officeDocument/2006/relationships" ax:classid="{DFD181E0-5E2F-11CE-A449-00AA004A803D}" ax:persistence="persistStreamInit" r:id="rId1"/>
</file>

<file path=xl/activeX/activeX22.xml><?xml version="1.0" encoding="utf-8"?>
<ax:ocx xmlns:ax="http://schemas.microsoft.com/office/2006/activeX" xmlns:r="http://schemas.openxmlformats.org/officeDocument/2006/relationships" ax:classid="{DFD181E0-5E2F-11CE-A449-00AA004A803D}" ax:persistence="persistStreamInit" r:id="rId1"/>
</file>

<file path=xl/activeX/activeX23.xml><?xml version="1.0" encoding="utf-8"?>
<ax:ocx xmlns:ax="http://schemas.microsoft.com/office/2006/activeX" xmlns:r="http://schemas.openxmlformats.org/officeDocument/2006/relationships" ax:classid="{DFD181E0-5E2F-11CE-A449-00AA004A803D}" ax:persistence="persistStreamInit" r:id="rId1"/>
</file>

<file path=xl/activeX/activeX24.xml><?xml version="1.0" encoding="utf-8"?>
<ax:ocx xmlns:ax="http://schemas.microsoft.com/office/2006/activeX" xmlns:r="http://schemas.openxmlformats.org/officeDocument/2006/relationships" ax:classid="{DFD181E0-5E2F-11CE-A449-00AA004A803D}" ax:persistence="persistStreamInit" r:id="rId1"/>
</file>

<file path=xl/activeX/activeX25.xml><?xml version="1.0" encoding="utf-8"?>
<ax:ocx xmlns:ax="http://schemas.microsoft.com/office/2006/activeX" xmlns:r="http://schemas.openxmlformats.org/officeDocument/2006/relationships" ax:classid="{DFD181E0-5E2F-11CE-A449-00AA004A803D}" ax:persistence="persistStreamInit" r:id="rId1"/>
</file>

<file path=xl/activeX/activeX26.xml><?xml version="1.0" encoding="utf-8"?>
<ax:ocx xmlns:ax="http://schemas.microsoft.com/office/2006/activeX" xmlns:r="http://schemas.openxmlformats.org/officeDocument/2006/relationships" ax:classid="{DFD181E0-5E2F-11CE-A449-00AA004A803D}" ax:persistence="persistStreamInit" r:id="rId1"/>
</file>

<file path=xl/activeX/activeX27.xml><?xml version="1.0" encoding="utf-8"?>
<ax:ocx xmlns:ax="http://schemas.microsoft.com/office/2006/activeX" xmlns:r="http://schemas.openxmlformats.org/officeDocument/2006/relationships" ax:classid="{DFD181E0-5E2F-11CE-A449-00AA004A803D}" ax:persistence="persistStreamInit" r:id="rId1"/>
</file>

<file path=xl/activeX/activeX28.xml><?xml version="1.0" encoding="utf-8"?>
<ax:ocx xmlns:ax="http://schemas.microsoft.com/office/2006/activeX" xmlns:r="http://schemas.openxmlformats.org/officeDocument/2006/relationships" ax:classid="{DFD181E0-5E2F-11CE-A449-00AA004A803D}" ax:persistence="persistStreamInit" r:id="rId1"/>
</file>

<file path=xl/activeX/activeX29.xml><?xml version="1.0" encoding="utf-8"?>
<ax:ocx xmlns:ax="http://schemas.microsoft.com/office/2006/activeX" xmlns:r="http://schemas.openxmlformats.org/officeDocument/2006/relationships" ax:classid="{DFD181E0-5E2F-11CE-A449-00AA004A803D}" ax:persistence="persistStreamInit" r:id="rId1"/>
</file>

<file path=xl/activeX/activeX30.xml><?xml version="1.0" encoding="utf-8"?>
<ax:ocx xmlns:ax="http://schemas.microsoft.com/office/2006/activeX" xmlns:r="http://schemas.openxmlformats.org/officeDocument/2006/relationships" ax:classid="{DFD181E0-5E2F-11CE-A449-00AA004A803D}" ax:persistence="persistStreamInit" r:id="rId1"/>
</file>

<file path=xl/activeX/activeX31.xml><?xml version="1.0" encoding="utf-8"?>
<ax:ocx xmlns:ax="http://schemas.microsoft.com/office/2006/activeX" xmlns:r="http://schemas.openxmlformats.org/officeDocument/2006/relationships" ax:classid="{DFD181E0-5E2F-11CE-A449-00AA004A803D}" ax:persistence="persistStreamInit" r:id="rId1"/>
</file>

<file path=xl/activeX/activeX32.xml><?xml version="1.0" encoding="utf-8"?>
<ax:ocx xmlns:ax="http://schemas.microsoft.com/office/2006/activeX" xmlns:r="http://schemas.openxmlformats.org/officeDocument/2006/relationships" ax:classid="{DFD181E0-5E2F-11CE-A449-00AA004A803D}" ax:persistence="persistStreamInit" r:id="rId1"/>
</file>

<file path=xl/activeX/activeX33.xml><?xml version="1.0" encoding="utf-8"?>
<ax:ocx xmlns:ax="http://schemas.microsoft.com/office/2006/activeX" xmlns:r="http://schemas.openxmlformats.org/officeDocument/2006/relationships" ax:classid="{DFD181E0-5E2F-11CE-A449-00AA004A803D}" ax:persistence="persistStreamInit" r:id="rId1"/>
</file>

<file path=xl/activeX/activeX34.xml><?xml version="1.0" encoding="utf-8"?>
<ax:ocx xmlns:ax="http://schemas.microsoft.com/office/2006/activeX" xmlns:r="http://schemas.openxmlformats.org/officeDocument/2006/relationships" ax:classid="{DFD181E0-5E2F-11CE-A449-00AA004A803D}"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95250</xdr:colOff>
      <xdr:row>0</xdr:row>
      <xdr:rowOff>0</xdr:rowOff>
    </xdr:from>
    <xdr:to>
      <xdr:col>18</xdr:col>
      <xdr:colOff>444411</xdr:colOff>
      <xdr:row>23</xdr:row>
      <xdr:rowOff>18048</xdr:rowOff>
    </xdr:to>
    <xdr:pic>
      <xdr:nvPicPr>
        <xdr:cNvPr id="2" name="Picture 1">
          <a:extLst>
            <a:ext uri="{FF2B5EF4-FFF2-40B4-BE49-F238E27FC236}">
              <a16:creationId xmlns:a16="http://schemas.microsoft.com/office/drawing/2014/main" id="{D53D117E-FE95-448D-274A-D77F39D9262D}"/>
            </a:ext>
          </a:extLst>
        </xdr:cNvPr>
        <xdr:cNvPicPr>
          <a:picLocks noChangeAspect="1"/>
        </xdr:cNvPicPr>
      </xdr:nvPicPr>
      <xdr:blipFill>
        <a:blip xmlns:r="http://schemas.openxmlformats.org/officeDocument/2006/relationships" r:embed="rId1"/>
        <a:stretch>
          <a:fillRect/>
        </a:stretch>
      </xdr:blipFill>
      <xdr:spPr>
        <a:xfrm>
          <a:off x="95250" y="0"/>
          <a:ext cx="11321961" cy="666649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16</xdr:col>
      <xdr:colOff>0</xdr:colOff>
      <xdr:row>4</xdr:row>
      <xdr:rowOff>0</xdr:rowOff>
    </xdr:from>
    <xdr:to>
      <xdr:col>16</xdr:col>
      <xdr:colOff>304800</xdr:colOff>
      <xdr:row>5</xdr:row>
      <xdr:rowOff>114300</xdr:rowOff>
    </xdr:to>
    <xdr:sp macro="" textlink="">
      <xdr:nvSpPr>
        <xdr:cNvPr id="9217" name="AutoShape 1">
          <a:extLst>
            <a:ext uri="{FF2B5EF4-FFF2-40B4-BE49-F238E27FC236}">
              <a16:creationId xmlns:a16="http://schemas.microsoft.com/office/drawing/2014/main" id="{D3DEA036-CFD8-0217-C0F0-613A53CE9F58}"/>
            </a:ext>
          </a:extLst>
        </xdr:cNvPr>
        <xdr:cNvSpPr>
          <a:spLocks noChangeAspect="1" noChangeArrowheads="1"/>
        </xdr:cNvSpPr>
      </xdr:nvSpPr>
      <xdr:spPr bwMode="auto">
        <a:xfrm>
          <a:off x="3048000" y="76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16</xdr:col>
      <xdr:colOff>0</xdr:colOff>
      <xdr:row>7</xdr:row>
      <xdr:rowOff>0</xdr:rowOff>
    </xdr:from>
    <xdr:to>
      <xdr:col>16</xdr:col>
      <xdr:colOff>304800</xdr:colOff>
      <xdr:row>8</xdr:row>
      <xdr:rowOff>114300</xdr:rowOff>
    </xdr:to>
    <xdr:sp macro="" textlink="">
      <xdr:nvSpPr>
        <xdr:cNvPr id="9218" name="AutoShape 2">
          <a:extLst>
            <a:ext uri="{FF2B5EF4-FFF2-40B4-BE49-F238E27FC236}">
              <a16:creationId xmlns:a16="http://schemas.microsoft.com/office/drawing/2014/main" id="{AAA1A2CA-D968-DA38-CCB8-59A4E7B7CAAC}"/>
            </a:ext>
          </a:extLst>
        </xdr:cNvPr>
        <xdr:cNvSpPr>
          <a:spLocks noChangeAspect="1" noChangeArrowheads="1"/>
        </xdr:cNvSpPr>
      </xdr:nvSpPr>
      <xdr:spPr bwMode="auto">
        <a:xfrm>
          <a:off x="3048000" y="133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16</xdr:col>
      <xdr:colOff>0</xdr:colOff>
      <xdr:row>10</xdr:row>
      <xdr:rowOff>0</xdr:rowOff>
    </xdr:from>
    <xdr:to>
      <xdr:col>16</xdr:col>
      <xdr:colOff>304800</xdr:colOff>
      <xdr:row>11</xdr:row>
      <xdr:rowOff>114300</xdr:rowOff>
    </xdr:to>
    <xdr:sp macro="" textlink="">
      <xdr:nvSpPr>
        <xdr:cNvPr id="9219" name="AutoShape 3">
          <a:extLst>
            <a:ext uri="{FF2B5EF4-FFF2-40B4-BE49-F238E27FC236}">
              <a16:creationId xmlns:a16="http://schemas.microsoft.com/office/drawing/2014/main" id="{49A6179E-C89F-14F7-E08B-3A3639D44DF5}"/>
            </a:ext>
          </a:extLst>
        </xdr:cNvPr>
        <xdr:cNvSpPr>
          <a:spLocks noChangeAspect="1" noChangeArrowheads="1"/>
        </xdr:cNvSpPr>
      </xdr:nvSpPr>
      <xdr:spPr bwMode="auto">
        <a:xfrm>
          <a:off x="3048000" y="1905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16</xdr:col>
      <xdr:colOff>0</xdr:colOff>
      <xdr:row>13</xdr:row>
      <xdr:rowOff>0</xdr:rowOff>
    </xdr:from>
    <xdr:to>
      <xdr:col>16</xdr:col>
      <xdr:colOff>304800</xdr:colOff>
      <xdr:row>14</xdr:row>
      <xdr:rowOff>114300</xdr:rowOff>
    </xdr:to>
    <xdr:sp macro="" textlink="">
      <xdr:nvSpPr>
        <xdr:cNvPr id="9220" name="AutoShape 4">
          <a:extLst>
            <a:ext uri="{FF2B5EF4-FFF2-40B4-BE49-F238E27FC236}">
              <a16:creationId xmlns:a16="http://schemas.microsoft.com/office/drawing/2014/main" id="{E5F542AD-2904-C770-99CE-C0983D092A54}"/>
            </a:ext>
          </a:extLst>
        </xdr:cNvPr>
        <xdr:cNvSpPr>
          <a:spLocks noChangeAspect="1" noChangeArrowheads="1"/>
        </xdr:cNvSpPr>
      </xdr:nvSpPr>
      <xdr:spPr bwMode="auto">
        <a:xfrm>
          <a:off x="3048000" y="247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16</xdr:col>
      <xdr:colOff>0</xdr:colOff>
      <xdr:row>16</xdr:row>
      <xdr:rowOff>0</xdr:rowOff>
    </xdr:from>
    <xdr:to>
      <xdr:col>16</xdr:col>
      <xdr:colOff>304800</xdr:colOff>
      <xdr:row>17</xdr:row>
      <xdr:rowOff>114300</xdr:rowOff>
    </xdr:to>
    <xdr:sp macro="" textlink="">
      <xdr:nvSpPr>
        <xdr:cNvPr id="9221" name="AutoShape 5">
          <a:extLst>
            <a:ext uri="{FF2B5EF4-FFF2-40B4-BE49-F238E27FC236}">
              <a16:creationId xmlns:a16="http://schemas.microsoft.com/office/drawing/2014/main" id="{E47B3B64-9633-3EEF-4015-3B2DB38991E3}"/>
            </a:ext>
          </a:extLst>
        </xdr:cNvPr>
        <xdr:cNvSpPr>
          <a:spLocks noChangeAspect="1" noChangeArrowheads="1"/>
        </xdr:cNvSpPr>
      </xdr:nvSpPr>
      <xdr:spPr bwMode="auto">
        <a:xfrm>
          <a:off x="3048000" y="304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16</xdr:col>
      <xdr:colOff>0</xdr:colOff>
      <xdr:row>19</xdr:row>
      <xdr:rowOff>0</xdr:rowOff>
    </xdr:from>
    <xdr:to>
      <xdr:col>16</xdr:col>
      <xdr:colOff>304800</xdr:colOff>
      <xdr:row>20</xdr:row>
      <xdr:rowOff>114300</xdr:rowOff>
    </xdr:to>
    <xdr:sp macro="" textlink="">
      <xdr:nvSpPr>
        <xdr:cNvPr id="9222" name="AutoShape 6">
          <a:extLst>
            <a:ext uri="{FF2B5EF4-FFF2-40B4-BE49-F238E27FC236}">
              <a16:creationId xmlns:a16="http://schemas.microsoft.com/office/drawing/2014/main" id="{A64157BB-84C7-F1A5-9851-1BCDC5363971}"/>
            </a:ext>
          </a:extLst>
        </xdr:cNvPr>
        <xdr:cNvSpPr>
          <a:spLocks noChangeAspect="1" noChangeArrowheads="1"/>
        </xdr:cNvSpPr>
      </xdr:nvSpPr>
      <xdr:spPr bwMode="auto">
        <a:xfrm>
          <a:off x="3048000" y="3619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16</xdr:col>
      <xdr:colOff>0</xdr:colOff>
      <xdr:row>24</xdr:row>
      <xdr:rowOff>0</xdr:rowOff>
    </xdr:from>
    <xdr:to>
      <xdr:col>16</xdr:col>
      <xdr:colOff>304800</xdr:colOff>
      <xdr:row>25</xdr:row>
      <xdr:rowOff>114300</xdr:rowOff>
    </xdr:to>
    <xdr:sp macro="" textlink="">
      <xdr:nvSpPr>
        <xdr:cNvPr id="9223" name="AutoShape 7">
          <a:extLst>
            <a:ext uri="{FF2B5EF4-FFF2-40B4-BE49-F238E27FC236}">
              <a16:creationId xmlns:a16="http://schemas.microsoft.com/office/drawing/2014/main" id="{A6BEE557-023D-8351-07D0-D2DA1ECCC933}"/>
            </a:ext>
          </a:extLst>
        </xdr:cNvPr>
        <xdr:cNvSpPr>
          <a:spLocks noChangeAspect="1" noChangeArrowheads="1"/>
        </xdr:cNvSpPr>
      </xdr:nvSpPr>
      <xdr:spPr bwMode="auto">
        <a:xfrm>
          <a:off x="3048000" y="8201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9525</xdr:colOff>
      <xdr:row>2</xdr:row>
      <xdr:rowOff>9525</xdr:rowOff>
    </xdr:from>
    <xdr:to>
      <xdr:col>24</xdr:col>
      <xdr:colOff>208763</xdr:colOff>
      <xdr:row>33</xdr:row>
      <xdr:rowOff>151621</xdr:rowOff>
    </xdr:to>
    <xdr:pic>
      <xdr:nvPicPr>
        <xdr:cNvPr id="2" name="Picture 1">
          <a:extLst>
            <a:ext uri="{FF2B5EF4-FFF2-40B4-BE49-F238E27FC236}">
              <a16:creationId xmlns:a16="http://schemas.microsoft.com/office/drawing/2014/main" id="{593B6AF3-1369-2592-5336-58BDB226AEB0}"/>
            </a:ext>
          </a:extLst>
        </xdr:cNvPr>
        <xdr:cNvPicPr>
          <a:picLocks noChangeAspect="1"/>
        </xdr:cNvPicPr>
      </xdr:nvPicPr>
      <xdr:blipFill>
        <a:blip xmlns:r="http://schemas.openxmlformats.org/officeDocument/2006/relationships" r:embed="rId1"/>
        <a:stretch>
          <a:fillRect/>
        </a:stretch>
      </xdr:blipFill>
      <xdr:spPr>
        <a:xfrm>
          <a:off x="8543925" y="466725"/>
          <a:ext cx="6295238" cy="622857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10</xdr:row>
          <xdr:rowOff>0</xdr:rowOff>
        </xdr:from>
        <xdr:to>
          <xdr:col>4</xdr:col>
          <xdr:colOff>9525</xdr:colOff>
          <xdr:row>11</xdr:row>
          <xdr:rowOff>0</xdr:rowOff>
        </xdr:to>
        <xdr:sp macro="" textlink="">
          <xdr:nvSpPr>
            <xdr:cNvPr id="12294" name="ScrollBar1" hidden="1">
              <a:extLst>
                <a:ext uri="{63B3BB69-23CF-44E3-9099-C40C66FF867C}">
                  <a14:compatExt spid="_x0000_s12294"/>
                </a:ext>
                <a:ext uri="{FF2B5EF4-FFF2-40B4-BE49-F238E27FC236}">
                  <a16:creationId xmlns:a16="http://schemas.microsoft.com/office/drawing/2014/main" id="{00000000-0008-0000-0400-000006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10</xdr:row>
          <xdr:rowOff>0</xdr:rowOff>
        </xdr:from>
        <xdr:to>
          <xdr:col>6</xdr:col>
          <xdr:colOff>0</xdr:colOff>
          <xdr:row>11</xdr:row>
          <xdr:rowOff>0</xdr:rowOff>
        </xdr:to>
        <xdr:sp macro="" textlink="">
          <xdr:nvSpPr>
            <xdr:cNvPr id="12295" name="ScrollBar2" hidden="1">
              <a:extLst>
                <a:ext uri="{63B3BB69-23CF-44E3-9099-C40C66FF867C}">
                  <a14:compatExt spid="_x0000_s12295"/>
                </a:ext>
                <a:ext uri="{FF2B5EF4-FFF2-40B4-BE49-F238E27FC236}">
                  <a16:creationId xmlns:a16="http://schemas.microsoft.com/office/drawing/2014/main" id="{00000000-0008-0000-0400-000007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10</xdr:row>
          <xdr:rowOff>0</xdr:rowOff>
        </xdr:from>
        <xdr:to>
          <xdr:col>8</xdr:col>
          <xdr:colOff>0</xdr:colOff>
          <xdr:row>11</xdr:row>
          <xdr:rowOff>0</xdr:rowOff>
        </xdr:to>
        <xdr:sp macro="" textlink="">
          <xdr:nvSpPr>
            <xdr:cNvPr id="12296" name="ScrollBar3" hidden="1">
              <a:extLst>
                <a:ext uri="{63B3BB69-23CF-44E3-9099-C40C66FF867C}">
                  <a14:compatExt spid="_x0000_s12296"/>
                </a:ext>
                <a:ext uri="{FF2B5EF4-FFF2-40B4-BE49-F238E27FC236}">
                  <a16:creationId xmlns:a16="http://schemas.microsoft.com/office/drawing/2014/main" id="{00000000-0008-0000-0400-000008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10</xdr:row>
          <xdr:rowOff>0</xdr:rowOff>
        </xdr:from>
        <xdr:to>
          <xdr:col>10</xdr:col>
          <xdr:colOff>0</xdr:colOff>
          <xdr:row>11</xdr:row>
          <xdr:rowOff>0</xdr:rowOff>
        </xdr:to>
        <xdr:sp macro="" textlink="">
          <xdr:nvSpPr>
            <xdr:cNvPr id="12297" name="ScrollBar4" hidden="1">
              <a:extLst>
                <a:ext uri="{63B3BB69-23CF-44E3-9099-C40C66FF867C}">
                  <a14:compatExt spid="_x0000_s12297"/>
                </a:ext>
                <a:ext uri="{FF2B5EF4-FFF2-40B4-BE49-F238E27FC236}">
                  <a16:creationId xmlns:a16="http://schemas.microsoft.com/office/drawing/2014/main" id="{00000000-0008-0000-0400-000009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10</xdr:row>
          <xdr:rowOff>0</xdr:rowOff>
        </xdr:from>
        <xdr:to>
          <xdr:col>12</xdr:col>
          <xdr:colOff>0</xdr:colOff>
          <xdr:row>11</xdr:row>
          <xdr:rowOff>0</xdr:rowOff>
        </xdr:to>
        <xdr:sp macro="" textlink="">
          <xdr:nvSpPr>
            <xdr:cNvPr id="12298" name="ScrollBar5" hidden="1">
              <a:extLst>
                <a:ext uri="{63B3BB69-23CF-44E3-9099-C40C66FF867C}">
                  <a14:compatExt spid="_x0000_s12298"/>
                </a:ext>
                <a:ext uri="{FF2B5EF4-FFF2-40B4-BE49-F238E27FC236}">
                  <a16:creationId xmlns:a16="http://schemas.microsoft.com/office/drawing/2014/main" id="{00000000-0008-0000-0400-00000A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13</xdr:row>
          <xdr:rowOff>0</xdr:rowOff>
        </xdr:from>
        <xdr:to>
          <xdr:col>4</xdr:col>
          <xdr:colOff>0</xdr:colOff>
          <xdr:row>14</xdr:row>
          <xdr:rowOff>0</xdr:rowOff>
        </xdr:to>
        <xdr:sp macro="" textlink="">
          <xdr:nvSpPr>
            <xdr:cNvPr id="12299" name="ScrollBar6" hidden="1">
              <a:extLst>
                <a:ext uri="{63B3BB69-23CF-44E3-9099-C40C66FF867C}">
                  <a14:compatExt spid="_x0000_s12299"/>
                </a:ext>
                <a:ext uri="{FF2B5EF4-FFF2-40B4-BE49-F238E27FC236}">
                  <a16:creationId xmlns:a16="http://schemas.microsoft.com/office/drawing/2014/main" id="{00000000-0008-0000-0400-00000B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5</xdr:col>
          <xdr:colOff>1476375</xdr:colOff>
          <xdr:row>14</xdr:row>
          <xdr:rowOff>0</xdr:rowOff>
        </xdr:to>
        <xdr:sp macro="" textlink="">
          <xdr:nvSpPr>
            <xdr:cNvPr id="12300" name="ScrollBar7" hidden="1">
              <a:extLst>
                <a:ext uri="{63B3BB69-23CF-44E3-9099-C40C66FF867C}">
                  <a14:compatExt spid="_x0000_s12300"/>
                </a:ext>
                <a:ext uri="{FF2B5EF4-FFF2-40B4-BE49-F238E27FC236}">
                  <a16:creationId xmlns:a16="http://schemas.microsoft.com/office/drawing/2014/main" id="{00000000-0008-0000-0400-00000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xdr:row>
          <xdr:rowOff>0</xdr:rowOff>
        </xdr:from>
        <xdr:to>
          <xdr:col>7</xdr:col>
          <xdr:colOff>1476375</xdr:colOff>
          <xdr:row>14</xdr:row>
          <xdr:rowOff>0</xdr:rowOff>
        </xdr:to>
        <xdr:sp macro="" textlink="">
          <xdr:nvSpPr>
            <xdr:cNvPr id="12301" name="ScrollBar8" hidden="1">
              <a:extLst>
                <a:ext uri="{63B3BB69-23CF-44E3-9099-C40C66FF867C}">
                  <a14:compatExt spid="_x0000_s12301"/>
                </a:ext>
                <a:ext uri="{FF2B5EF4-FFF2-40B4-BE49-F238E27FC236}">
                  <a16:creationId xmlns:a16="http://schemas.microsoft.com/office/drawing/2014/main" id="{00000000-0008-0000-0400-00000D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9</xdr:col>
          <xdr:colOff>1476375</xdr:colOff>
          <xdr:row>14</xdr:row>
          <xdr:rowOff>0</xdr:rowOff>
        </xdr:to>
        <xdr:sp macro="" textlink="">
          <xdr:nvSpPr>
            <xdr:cNvPr id="12302" name="ScrollBar9" hidden="1">
              <a:extLst>
                <a:ext uri="{63B3BB69-23CF-44E3-9099-C40C66FF867C}">
                  <a14:compatExt spid="_x0000_s12302"/>
                </a:ext>
                <a:ext uri="{FF2B5EF4-FFF2-40B4-BE49-F238E27FC236}">
                  <a16:creationId xmlns:a16="http://schemas.microsoft.com/office/drawing/2014/main" id="{00000000-0008-0000-0400-00000E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13</xdr:row>
          <xdr:rowOff>0</xdr:rowOff>
        </xdr:from>
        <xdr:to>
          <xdr:col>11</xdr:col>
          <xdr:colOff>1476375</xdr:colOff>
          <xdr:row>14</xdr:row>
          <xdr:rowOff>0</xdr:rowOff>
        </xdr:to>
        <xdr:sp macro="" textlink="">
          <xdr:nvSpPr>
            <xdr:cNvPr id="12303" name="ScrollBar10" hidden="1">
              <a:extLst>
                <a:ext uri="{63B3BB69-23CF-44E3-9099-C40C66FF867C}">
                  <a14:compatExt spid="_x0000_s12303"/>
                </a:ext>
                <a:ext uri="{FF2B5EF4-FFF2-40B4-BE49-F238E27FC236}">
                  <a16:creationId xmlns:a16="http://schemas.microsoft.com/office/drawing/2014/main" id="{00000000-0008-0000-0400-00000F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16</xdr:row>
          <xdr:rowOff>0</xdr:rowOff>
        </xdr:from>
        <xdr:to>
          <xdr:col>4</xdr:col>
          <xdr:colOff>0</xdr:colOff>
          <xdr:row>17</xdr:row>
          <xdr:rowOff>0</xdr:rowOff>
        </xdr:to>
        <xdr:sp macro="" textlink="">
          <xdr:nvSpPr>
            <xdr:cNvPr id="12304" name="ScrollBar11" hidden="1">
              <a:extLst>
                <a:ext uri="{63B3BB69-23CF-44E3-9099-C40C66FF867C}">
                  <a14:compatExt spid="_x0000_s12304"/>
                </a:ext>
                <a:ext uri="{FF2B5EF4-FFF2-40B4-BE49-F238E27FC236}">
                  <a16:creationId xmlns:a16="http://schemas.microsoft.com/office/drawing/2014/main" id="{00000000-0008-0000-0400-000010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0</xdr:rowOff>
        </xdr:from>
        <xdr:to>
          <xdr:col>5</xdr:col>
          <xdr:colOff>1476375</xdr:colOff>
          <xdr:row>17</xdr:row>
          <xdr:rowOff>0</xdr:rowOff>
        </xdr:to>
        <xdr:sp macro="" textlink="">
          <xdr:nvSpPr>
            <xdr:cNvPr id="12305" name="ScrollBar12" hidden="1">
              <a:extLst>
                <a:ext uri="{63B3BB69-23CF-44E3-9099-C40C66FF867C}">
                  <a14:compatExt spid="_x0000_s12305"/>
                </a:ext>
                <a:ext uri="{FF2B5EF4-FFF2-40B4-BE49-F238E27FC236}">
                  <a16:creationId xmlns:a16="http://schemas.microsoft.com/office/drawing/2014/main" id="{00000000-0008-0000-0400-00001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xdr:row>
          <xdr:rowOff>0</xdr:rowOff>
        </xdr:from>
        <xdr:to>
          <xdr:col>7</xdr:col>
          <xdr:colOff>1476375</xdr:colOff>
          <xdr:row>17</xdr:row>
          <xdr:rowOff>0</xdr:rowOff>
        </xdr:to>
        <xdr:sp macro="" textlink="">
          <xdr:nvSpPr>
            <xdr:cNvPr id="12306" name="ScrollBar13" hidden="1">
              <a:extLst>
                <a:ext uri="{63B3BB69-23CF-44E3-9099-C40C66FF867C}">
                  <a14:compatExt spid="_x0000_s12306"/>
                </a:ext>
                <a:ext uri="{FF2B5EF4-FFF2-40B4-BE49-F238E27FC236}">
                  <a16:creationId xmlns:a16="http://schemas.microsoft.com/office/drawing/2014/main" id="{00000000-0008-0000-0400-00001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9</xdr:col>
          <xdr:colOff>1476375</xdr:colOff>
          <xdr:row>17</xdr:row>
          <xdr:rowOff>0</xdr:rowOff>
        </xdr:to>
        <xdr:sp macro="" textlink="">
          <xdr:nvSpPr>
            <xdr:cNvPr id="12307" name="ScrollBar14" hidden="1">
              <a:extLst>
                <a:ext uri="{63B3BB69-23CF-44E3-9099-C40C66FF867C}">
                  <a14:compatExt spid="_x0000_s12307"/>
                </a:ext>
                <a:ext uri="{FF2B5EF4-FFF2-40B4-BE49-F238E27FC236}">
                  <a16:creationId xmlns:a16="http://schemas.microsoft.com/office/drawing/2014/main" id="{00000000-0008-0000-0400-00001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16</xdr:row>
          <xdr:rowOff>0</xdr:rowOff>
        </xdr:from>
        <xdr:to>
          <xdr:col>11</xdr:col>
          <xdr:colOff>1476375</xdr:colOff>
          <xdr:row>17</xdr:row>
          <xdr:rowOff>0</xdr:rowOff>
        </xdr:to>
        <xdr:sp macro="" textlink="">
          <xdr:nvSpPr>
            <xdr:cNvPr id="12308" name="ScrollBar15" hidden="1">
              <a:extLst>
                <a:ext uri="{63B3BB69-23CF-44E3-9099-C40C66FF867C}">
                  <a14:compatExt spid="_x0000_s12308"/>
                </a:ext>
                <a:ext uri="{FF2B5EF4-FFF2-40B4-BE49-F238E27FC236}">
                  <a16:creationId xmlns:a16="http://schemas.microsoft.com/office/drawing/2014/main" id="{00000000-0008-0000-0400-00001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0</xdr:rowOff>
        </xdr:from>
        <xdr:to>
          <xdr:col>4</xdr:col>
          <xdr:colOff>0</xdr:colOff>
          <xdr:row>20</xdr:row>
          <xdr:rowOff>0</xdr:rowOff>
        </xdr:to>
        <xdr:sp macro="" textlink="">
          <xdr:nvSpPr>
            <xdr:cNvPr id="12309" name="ScrollBar16" hidden="1">
              <a:extLst>
                <a:ext uri="{63B3BB69-23CF-44E3-9099-C40C66FF867C}">
                  <a14:compatExt spid="_x0000_s12309"/>
                </a:ext>
                <a:ext uri="{FF2B5EF4-FFF2-40B4-BE49-F238E27FC236}">
                  <a16:creationId xmlns:a16="http://schemas.microsoft.com/office/drawing/2014/main" id="{00000000-0008-0000-0400-00001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5</xdr:col>
          <xdr:colOff>1476375</xdr:colOff>
          <xdr:row>20</xdr:row>
          <xdr:rowOff>0</xdr:rowOff>
        </xdr:to>
        <xdr:sp macro="" textlink="">
          <xdr:nvSpPr>
            <xdr:cNvPr id="12310" name="ScrollBar17" hidden="1">
              <a:extLst>
                <a:ext uri="{63B3BB69-23CF-44E3-9099-C40C66FF867C}">
                  <a14:compatExt spid="_x0000_s12310"/>
                </a:ext>
                <a:ext uri="{FF2B5EF4-FFF2-40B4-BE49-F238E27FC236}">
                  <a16:creationId xmlns:a16="http://schemas.microsoft.com/office/drawing/2014/main" id="{00000000-0008-0000-0400-000016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xdr:row>
          <xdr:rowOff>0</xdr:rowOff>
        </xdr:from>
        <xdr:to>
          <xdr:col>7</xdr:col>
          <xdr:colOff>1476375</xdr:colOff>
          <xdr:row>20</xdr:row>
          <xdr:rowOff>0</xdr:rowOff>
        </xdr:to>
        <xdr:sp macro="" textlink="">
          <xdr:nvSpPr>
            <xdr:cNvPr id="12311" name="ScrollBar18" hidden="1">
              <a:extLst>
                <a:ext uri="{63B3BB69-23CF-44E3-9099-C40C66FF867C}">
                  <a14:compatExt spid="_x0000_s12311"/>
                </a:ext>
                <a:ext uri="{FF2B5EF4-FFF2-40B4-BE49-F238E27FC236}">
                  <a16:creationId xmlns:a16="http://schemas.microsoft.com/office/drawing/2014/main" id="{00000000-0008-0000-0400-000017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0</xdr:rowOff>
        </xdr:from>
        <xdr:to>
          <xdr:col>9</xdr:col>
          <xdr:colOff>1476375</xdr:colOff>
          <xdr:row>20</xdr:row>
          <xdr:rowOff>0</xdr:rowOff>
        </xdr:to>
        <xdr:sp macro="" textlink="">
          <xdr:nvSpPr>
            <xdr:cNvPr id="12312" name="ScrollBar19" hidden="1">
              <a:extLst>
                <a:ext uri="{63B3BB69-23CF-44E3-9099-C40C66FF867C}">
                  <a14:compatExt spid="_x0000_s12312"/>
                </a:ext>
                <a:ext uri="{FF2B5EF4-FFF2-40B4-BE49-F238E27FC236}">
                  <a16:creationId xmlns:a16="http://schemas.microsoft.com/office/drawing/2014/main" id="{00000000-0008-0000-0400-000018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19</xdr:row>
          <xdr:rowOff>0</xdr:rowOff>
        </xdr:from>
        <xdr:to>
          <xdr:col>11</xdr:col>
          <xdr:colOff>1476375</xdr:colOff>
          <xdr:row>20</xdr:row>
          <xdr:rowOff>0</xdr:rowOff>
        </xdr:to>
        <xdr:sp macro="" textlink="">
          <xdr:nvSpPr>
            <xdr:cNvPr id="12313" name="ScrollBar20" hidden="1">
              <a:extLst>
                <a:ext uri="{63B3BB69-23CF-44E3-9099-C40C66FF867C}">
                  <a14:compatExt spid="_x0000_s12313"/>
                </a:ext>
                <a:ext uri="{FF2B5EF4-FFF2-40B4-BE49-F238E27FC236}">
                  <a16:creationId xmlns:a16="http://schemas.microsoft.com/office/drawing/2014/main" id="{00000000-0008-0000-0400-000019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22</xdr:row>
          <xdr:rowOff>9525</xdr:rowOff>
        </xdr:from>
        <xdr:to>
          <xdr:col>4</xdr:col>
          <xdr:colOff>0</xdr:colOff>
          <xdr:row>23</xdr:row>
          <xdr:rowOff>9525</xdr:rowOff>
        </xdr:to>
        <xdr:sp macro="" textlink="">
          <xdr:nvSpPr>
            <xdr:cNvPr id="12314" name="ScrollBar21" hidden="1">
              <a:extLst>
                <a:ext uri="{63B3BB69-23CF-44E3-9099-C40C66FF867C}">
                  <a14:compatExt spid="_x0000_s12314"/>
                </a:ext>
                <a:ext uri="{FF2B5EF4-FFF2-40B4-BE49-F238E27FC236}">
                  <a16:creationId xmlns:a16="http://schemas.microsoft.com/office/drawing/2014/main" id="{00000000-0008-0000-0400-00001A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9525</xdr:rowOff>
        </xdr:from>
        <xdr:to>
          <xdr:col>5</xdr:col>
          <xdr:colOff>1476375</xdr:colOff>
          <xdr:row>23</xdr:row>
          <xdr:rowOff>9525</xdr:rowOff>
        </xdr:to>
        <xdr:sp macro="" textlink="">
          <xdr:nvSpPr>
            <xdr:cNvPr id="12315" name="ScrollBar22" hidden="1">
              <a:extLst>
                <a:ext uri="{63B3BB69-23CF-44E3-9099-C40C66FF867C}">
                  <a14:compatExt spid="_x0000_s12315"/>
                </a:ext>
                <a:ext uri="{FF2B5EF4-FFF2-40B4-BE49-F238E27FC236}">
                  <a16:creationId xmlns:a16="http://schemas.microsoft.com/office/drawing/2014/main" id="{00000000-0008-0000-0400-00001B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22</xdr:row>
          <xdr:rowOff>9525</xdr:rowOff>
        </xdr:from>
        <xdr:to>
          <xdr:col>7</xdr:col>
          <xdr:colOff>1476375</xdr:colOff>
          <xdr:row>23</xdr:row>
          <xdr:rowOff>9525</xdr:rowOff>
        </xdr:to>
        <xdr:sp macro="" textlink="">
          <xdr:nvSpPr>
            <xdr:cNvPr id="12316" name="ScrollBar23" hidden="1">
              <a:extLst>
                <a:ext uri="{63B3BB69-23CF-44E3-9099-C40C66FF867C}">
                  <a14:compatExt spid="_x0000_s12316"/>
                </a:ext>
                <a:ext uri="{FF2B5EF4-FFF2-40B4-BE49-F238E27FC236}">
                  <a16:creationId xmlns:a16="http://schemas.microsoft.com/office/drawing/2014/main" id="{00000000-0008-0000-0400-00001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9525</xdr:rowOff>
        </xdr:from>
        <xdr:to>
          <xdr:col>9</xdr:col>
          <xdr:colOff>1476375</xdr:colOff>
          <xdr:row>23</xdr:row>
          <xdr:rowOff>9525</xdr:rowOff>
        </xdr:to>
        <xdr:sp macro="" textlink="">
          <xdr:nvSpPr>
            <xdr:cNvPr id="12317" name="ScrollBar24" hidden="1">
              <a:extLst>
                <a:ext uri="{63B3BB69-23CF-44E3-9099-C40C66FF867C}">
                  <a14:compatExt spid="_x0000_s12317"/>
                </a:ext>
                <a:ext uri="{FF2B5EF4-FFF2-40B4-BE49-F238E27FC236}">
                  <a16:creationId xmlns:a16="http://schemas.microsoft.com/office/drawing/2014/main" id="{00000000-0008-0000-0400-00001D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22</xdr:row>
          <xdr:rowOff>9525</xdr:rowOff>
        </xdr:from>
        <xdr:to>
          <xdr:col>11</xdr:col>
          <xdr:colOff>1476375</xdr:colOff>
          <xdr:row>23</xdr:row>
          <xdr:rowOff>9525</xdr:rowOff>
        </xdr:to>
        <xdr:sp macro="" textlink="">
          <xdr:nvSpPr>
            <xdr:cNvPr id="12318" name="ScrollBar25" hidden="1">
              <a:extLst>
                <a:ext uri="{63B3BB69-23CF-44E3-9099-C40C66FF867C}">
                  <a14:compatExt spid="_x0000_s12318"/>
                </a:ext>
                <a:ext uri="{FF2B5EF4-FFF2-40B4-BE49-F238E27FC236}">
                  <a16:creationId xmlns:a16="http://schemas.microsoft.com/office/drawing/2014/main" id="{00000000-0008-0000-0400-00001E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25</xdr:row>
          <xdr:rowOff>0</xdr:rowOff>
        </xdr:from>
        <xdr:to>
          <xdr:col>4</xdr:col>
          <xdr:colOff>0</xdr:colOff>
          <xdr:row>26</xdr:row>
          <xdr:rowOff>0</xdr:rowOff>
        </xdr:to>
        <xdr:sp macro="" textlink="">
          <xdr:nvSpPr>
            <xdr:cNvPr id="12319" name="ScrollBar26" hidden="1">
              <a:extLst>
                <a:ext uri="{63B3BB69-23CF-44E3-9099-C40C66FF867C}">
                  <a14:compatExt spid="_x0000_s12319"/>
                </a:ext>
                <a:ext uri="{FF2B5EF4-FFF2-40B4-BE49-F238E27FC236}">
                  <a16:creationId xmlns:a16="http://schemas.microsoft.com/office/drawing/2014/main" id="{00000000-0008-0000-0400-00001F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1476375</xdr:colOff>
          <xdr:row>26</xdr:row>
          <xdr:rowOff>0</xdr:rowOff>
        </xdr:to>
        <xdr:sp macro="" textlink="">
          <xdr:nvSpPr>
            <xdr:cNvPr id="12320" name="ScrollBar27" hidden="1">
              <a:extLst>
                <a:ext uri="{63B3BB69-23CF-44E3-9099-C40C66FF867C}">
                  <a14:compatExt spid="_x0000_s12320"/>
                </a:ext>
                <a:ext uri="{FF2B5EF4-FFF2-40B4-BE49-F238E27FC236}">
                  <a16:creationId xmlns:a16="http://schemas.microsoft.com/office/drawing/2014/main" id="{00000000-0008-0000-0400-000020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1476375</xdr:colOff>
          <xdr:row>26</xdr:row>
          <xdr:rowOff>0</xdr:rowOff>
        </xdr:to>
        <xdr:sp macro="" textlink="">
          <xdr:nvSpPr>
            <xdr:cNvPr id="12321" name="ScrollBar28" hidden="1">
              <a:extLst>
                <a:ext uri="{63B3BB69-23CF-44E3-9099-C40C66FF867C}">
                  <a14:compatExt spid="_x0000_s12321"/>
                </a:ext>
                <a:ext uri="{FF2B5EF4-FFF2-40B4-BE49-F238E27FC236}">
                  <a16:creationId xmlns:a16="http://schemas.microsoft.com/office/drawing/2014/main" id="{00000000-0008-0000-0400-00002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25</xdr:row>
          <xdr:rowOff>0</xdr:rowOff>
        </xdr:from>
        <xdr:to>
          <xdr:col>9</xdr:col>
          <xdr:colOff>1476375</xdr:colOff>
          <xdr:row>26</xdr:row>
          <xdr:rowOff>0</xdr:rowOff>
        </xdr:to>
        <xdr:sp macro="" textlink="">
          <xdr:nvSpPr>
            <xdr:cNvPr id="12322" name="ScrollBar29" hidden="1">
              <a:extLst>
                <a:ext uri="{63B3BB69-23CF-44E3-9099-C40C66FF867C}">
                  <a14:compatExt spid="_x0000_s12322"/>
                </a:ext>
                <a:ext uri="{FF2B5EF4-FFF2-40B4-BE49-F238E27FC236}">
                  <a16:creationId xmlns:a16="http://schemas.microsoft.com/office/drawing/2014/main" id="{00000000-0008-0000-0400-00002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25</xdr:row>
          <xdr:rowOff>0</xdr:rowOff>
        </xdr:from>
        <xdr:to>
          <xdr:col>11</xdr:col>
          <xdr:colOff>1476375</xdr:colOff>
          <xdr:row>26</xdr:row>
          <xdr:rowOff>0</xdr:rowOff>
        </xdr:to>
        <xdr:sp macro="" textlink="">
          <xdr:nvSpPr>
            <xdr:cNvPr id="12323" name="ScrollBar30" hidden="1">
              <a:extLst>
                <a:ext uri="{63B3BB69-23CF-44E3-9099-C40C66FF867C}">
                  <a14:compatExt spid="_x0000_s12323"/>
                </a:ext>
                <a:ext uri="{FF2B5EF4-FFF2-40B4-BE49-F238E27FC236}">
                  <a16:creationId xmlns:a16="http://schemas.microsoft.com/office/drawing/2014/main" id="{00000000-0008-0000-0400-00002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35</xdr:row>
          <xdr:rowOff>0</xdr:rowOff>
        </xdr:from>
        <xdr:to>
          <xdr:col>4</xdr:col>
          <xdr:colOff>0</xdr:colOff>
          <xdr:row>36</xdr:row>
          <xdr:rowOff>0</xdr:rowOff>
        </xdr:to>
        <xdr:sp macro="" textlink="">
          <xdr:nvSpPr>
            <xdr:cNvPr id="12324" name="ScrollBar31" hidden="1">
              <a:extLst>
                <a:ext uri="{63B3BB69-23CF-44E3-9099-C40C66FF867C}">
                  <a14:compatExt spid="_x0000_s12324"/>
                </a:ext>
                <a:ext uri="{FF2B5EF4-FFF2-40B4-BE49-F238E27FC236}">
                  <a16:creationId xmlns:a16="http://schemas.microsoft.com/office/drawing/2014/main" id="{00000000-0008-0000-0400-00002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1476375</xdr:colOff>
          <xdr:row>36</xdr:row>
          <xdr:rowOff>0</xdr:rowOff>
        </xdr:to>
        <xdr:sp macro="" textlink="">
          <xdr:nvSpPr>
            <xdr:cNvPr id="12325" name="ScrollBar32" hidden="1">
              <a:extLst>
                <a:ext uri="{63B3BB69-23CF-44E3-9099-C40C66FF867C}">
                  <a14:compatExt spid="_x0000_s12325"/>
                </a:ext>
                <a:ext uri="{FF2B5EF4-FFF2-40B4-BE49-F238E27FC236}">
                  <a16:creationId xmlns:a16="http://schemas.microsoft.com/office/drawing/2014/main" id="{00000000-0008-0000-0400-00002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35</xdr:row>
          <xdr:rowOff>0</xdr:rowOff>
        </xdr:from>
        <xdr:to>
          <xdr:col>7</xdr:col>
          <xdr:colOff>1476375</xdr:colOff>
          <xdr:row>36</xdr:row>
          <xdr:rowOff>0</xdr:rowOff>
        </xdr:to>
        <xdr:sp macro="" textlink="">
          <xdr:nvSpPr>
            <xdr:cNvPr id="12326" name="ScrollBar33" hidden="1">
              <a:extLst>
                <a:ext uri="{63B3BB69-23CF-44E3-9099-C40C66FF867C}">
                  <a14:compatExt spid="_x0000_s12326"/>
                </a:ext>
                <a:ext uri="{FF2B5EF4-FFF2-40B4-BE49-F238E27FC236}">
                  <a16:creationId xmlns:a16="http://schemas.microsoft.com/office/drawing/2014/main" id="{00000000-0008-0000-0400-000026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35</xdr:row>
          <xdr:rowOff>0</xdr:rowOff>
        </xdr:from>
        <xdr:to>
          <xdr:col>9</xdr:col>
          <xdr:colOff>1476375</xdr:colOff>
          <xdr:row>36</xdr:row>
          <xdr:rowOff>0</xdr:rowOff>
        </xdr:to>
        <xdr:sp macro="" textlink="">
          <xdr:nvSpPr>
            <xdr:cNvPr id="12327" name="ScrollBar34" hidden="1">
              <a:extLst>
                <a:ext uri="{63B3BB69-23CF-44E3-9099-C40C66FF867C}">
                  <a14:compatExt spid="_x0000_s12327"/>
                </a:ext>
                <a:ext uri="{FF2B5EF4-FFF2-40B4-BE49-F238E27FC236}">
                  <a16:creationId xmlns:a16="http://schemas.microsoft.com/office/drawing/2014/main" id="{00000000-0008-0000-0400-000027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1484876</xdr:colOff>
      <xdr:row>35</xdr:row>
      <xdr:rowOff>37227</xdr:rowOff>
    </xdr:to>
    <xdr:pic>
      <xdr:nvPicPr>
        <xdr:cNvPr id="2" name="Picture 1">
          <a:extLst>
            <a:ext uri="{FF2B5EF4-FFF2-40B4-BE49-F238E27FC236}">
              <a16:creationId xmlns:a16="http://schemas.microsoft.com/office/drawing/2014/main" id="{337FA50C-3D39-180C-53CA-2C4E547C691E}"/>
            </a:ext>
          </a:extLst>
        </xdr:cNvPr>
        <xdr:cNvPicPr>
          <a:picLocks noChangeAspect="1"/>
        </xdr:cNvPicPr>
      </xdr:nvPicPr>
      <xdr:blipFill>
        <a:blip xmlns:r="http://schemas.openxmlformats.org/officeDocument/2006/relationships" r:embed="rId1"/>
        <a:stretch>
          <a:fillRect/>
        </a:stretch>
      </xdr:blipFill>
      <xdr:spPr>
        <a:xfrm>
          <a:off x="0" y="0"/>
          <a:ext cx="8190476" cy="6980952"/>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person displayName="Benjamin R. Lampe" id="{CC080386-C579-4987-B3E8-A8AF41178094}" userId="S-1-5-21-26508437-853423744-273882866-232428"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I33" dT="2024-04-26T14:01:17.53" personId="{CC080386-C579-4987-B3E8-A8AF41178094}" id="{CD1F016B-8BCB-4555-B564-238903CE3FBA}">
    <text>Add some clarification, that this should not be confused with residential applications.</text>
  </threadedComment>
</ThreadedComment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10.xml"/><Relationship Id="rId18" Type="http://schemas.openxmlformats.org/officeDocument/2006/relationships/control" Target="../activeX/activeX15.xml"/><Relationship Id="rId26" Type="http://schemas.openxmlformats.org/officeDocument/2006/relationships/control" Target="../activeX/activeX23.xml"/><Relationship Id="rId39" Type="http://schemas.microsoft.com/office/2017/10/relationships/threadedComment" Target="../threadedComments/threadedComment1.xml"/><Relationship Id="rId21" Type="http://schemas.openxmlformats.org/officeDocument/2006/relationships/control" Target="../activeX/activeX18.xml"/><Relationship Id="rId34" Type="http://schemas.openxmlformats.org/officeDocument/2006/relationships/control" Target="../activeX/activeX31.xml"/><Relationship Id="rId7" Type="http://schemas.openxmlformats.org/officeDocument/2006/relationships/control" Target="../activeX/activeX4.xml"/><Relationship Id="rId12" Type="http://schemas.openxmlformats.org/officeDocument/2006/relationships/control" Target="../activeX/activeX9.xml"/><Relationship Id="rId17" Type="http://schemas.openxmlformats.org/officeDocument/2006/relationships/control" Target="../activeX/activeX14.xml"/><Relationship Id="rId25" Type="http://schemas.openxmlformats.org/officeDocument/2006/relationships/control" Target="../activeX/activeX22.xml"/><Relationship Id="rId33" Type="http://schemas.openxmlformats.org/officeDocument/2006/relationships/control" Target="../activeX/activeX30.xml"/><Relationship Id="rId38" Type="http://schemas.openxmlformats.org/officeDocument/2006/relationships/comments" Target="../comments1.xml"/><Relationship Id="rId2" Type="http://schemas.openxmlformats.org/officeDocument/2006/relationships/vmlDrawing" Target="../drawings/vmlDrawing1.vml"/><Relationship Id="rId16" Type="http://schemas.openxmlformats.org/officeDocument/2006/relationships/control" Target="../activeX/activeX13.xml"/><Relationship Id="rId20" Type="http://schemas.openxmlformats.org/officeDocument/2006/relationships/control" Target="../activeX/activeX17.xml"/><Relationship Id="rId29" Type="http://schemas.openxmlformats.org/officeDocument/2006/relationships/control" Target="../activeX/activeX26.xml"/><Relationship Id="rId1" Type="http://schemas.openxmlformats.org/officeDocument/2006/relationships/drawing" Target="../drawings/drawing3.xml"/><Relationship Id="rId6" Type="http://schemas.openxmlformats.org/officeDocument/2006/relationships/control" Target="../activeX/activeX3.xml"/><Relationship Id="rId11" Type="http://schemas.openxmlformats.org/officeDocument/2006/relationships/control" Target="../activeX/activeX8.xml"/><Relationship Id="rId24" Type="http://schemas.openxmlformats.org/officeDocument/2006/relationships/control" Target="../activeX/activeX21.xml"/><Relationship Id="rId32" Type="http://schemas.openxmlformats.org/officeDocument/2006/relationships/control" Target="../activeX/activeX29.xml"/><Relationship Id="rId37" Type="http://schemas.openxmlformats.org/officeDocument/2006/relationships/control" Target="../activeX/activeX34.xml"/><Relationship Id="rId5" Type="http://schemas.openxmlformats.org/officeDocument/2006/relationships/control" Target="../activeX/activeX2.xml"/><Relationship Id="rId15" Type="http://schemas.openxmlformats.org/officeDocument/2006/relationships/control" Target="../activeX/activeX12.xml"/><Relationship Id="rId23" Type="http://schemas.openxmlformats.org/officeDocument/2006/relationships/control" Target="../activeX/activeX20.xml"/><Relationship Id="rId28" Type="http://schemas.openxmlformats.org/officeDocument/2006/relationships/control" Target="../activeX/activeX25.xml"/><Relationship Id="rId36" Type="http://schemas.openxmlformats.org/officeDocument/2006/relationships/control" Target="../activeX/activeX33.xml"/><Relationship Id="rId10" Type="http://schemas.openxmlformats.org/officeDocument/2006/relationships/control" Target="../activeX/activeX7.xml"/><Relationship Id="rId19" Type="http://schemas.openxmlformats.org/officeDocument/2006/relationships/control" Target="../activeX/activeX16.xml"/><Relationship Id="rId31" Type="http://schemas.openxmlformats.org/officeDocument/2006/relationships/control" Target="../activeX/activeX28.xml"/><Relationship Id="rId4" Type="http://schemas.openxmlformats.org/officeDocument/2006/relationships/image" Target="../media/image3.emf"/><Relationship Id="rId9" Type="http://schemas.openxmlformats.org/officeDocument/2006/relationships/control" Target="../activeX/activeX6.xml"/><Relationship Id="rId14" Type="http://schemas.openxmlformats.org/officeDocument/2006/relationships/control" Target="../activeX/activeX11.xml"/><Relationship Id="rId22" Type="http://schemas.openxmlformats.org/officeDocument/2006/relationships/control" Target="../activeX/activeX19.xml"/><Relationship Id="rId27" Type="http://schemas.openxmlformats.org/officeDocument/2006/relationships/control" Target="../activeX/activeX24.xml"/><Relationship Id="rId30" Type="http://schemas.openxmlformats.org/officeDocument/2006/relationships/control" Target="../activeX/activeX27.xml"/><Relationship Id="rId35" Type="http://schemas.openxmlformats.org/officeDocument/2006/relationships/control" Target="../activeX/activeX32.xml"/><Relationship Id="rId8" Type="http://schemas.openxmlformats.org/officeDocument/2006/relationships/control" Target="../activeX/activeX5.xml"/><Relationship Id="rId3"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E1476B-30CC-4340-8451-650494D34672}">
  <sheetPr codeName="Sheet1"/>
  <dimension ref="A1:B2"/>
  <sheetViews>
    <sheetView workbookViewId="0">
      <selection activeCell="B5" sqref="B5"/>
    </sheetView>
  </sheetViews>
  <sheetFormatPr defaultRowHeight="15"/>
  <sheetData>
    <row r="1" spans="1:2">
      <c r="A1" t="s">
        <v>27</v>
      </c>
      <c r="B1" t="s">
        <v>283</v>
      </c>
    </row>
    <row r="2" spans="1:2">
      <c r="A2" t="s">
        <v>28</v>
      </c>
      <c r="B2" t="s">
        <v>284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26F6F-D9A5-417A-9447-DD0506BC0897}">
  <sheetPr codeName="Sheet2"/>
  <dimension ref="T3:V19"/>
  <sheetViews>
    <sheetView workbookViewId="0">
      <selection activeCell="V22" sqref="V22"/>
    </sheetView>
  </sheetViews>
  <sheetFormatPr defaultRowHeight="15"/>
  <cols>
    <col min="1" max="21" width="9.140625" style="1"/>
    <col min="22" max="22" width="66.7109375" style="1" customWidth="1"/>
    <col min="23" max="16384" width="9.140625" style="1"/>
  </cols>
  <sheetData>
    <row r="3" spans="20:22" ht="21">
      <c r="T3" s="68" t="s">
        <v>106</v>
      </c>
    </row>
    <row r="4" spans="20:22" ht="15.75" thickBot="1"/>
    <row r="5" spans="20:22" ht="15.75" thickBot="1">
      <c r="U5" s="69" t="s">
        <v>107</v>
      </c>
      <c r="V5" s="70"/>
    </row>
    <row r="6" spans="20:22" ht="15.75" thickBot="1"/>
    <row r="7" spans="20:22" ht="112.5" customHeight="1" thickBot="1">
      <c r="U7" s="71" t="s">
        <v>108</v>
      </c>
      <c r="V7" s="70"/>
    </row>
    <row r="9" spans="20:22" ht="21">
      <c r="T9" s="68" t="s">
        <v>109</v>
      </c>
    </row>
    <row r="10" spans="20:22" ht="15.75" thickBot="1"/>
    <row r="11" spans="20:22" ht="70.5" customHeight="1" thickBot="1">
      <c r="U11" s="71" t="s">
        <v>110</v>
      </c>
      <c r="V11" s="70"/>
    </row>
    <row r="13" spans="20:22" ht="21">
      <c r="T13" s="68" t="s">
        <v>111</v>
      </c>
    </row>
    <row r="14" spans="20:22" ht="15.75" thickBot="1"/>
    <row r="15" spans="20:22" ht="15.75" thickBot="1">
      <c r="U15" s="69" t="s">
        <v>112</v>
      </c>
      <c r="V15" s="70"/>
    </row>
    <row r="16" spans="20:22" ht="15.75" thickBot="1"/>
    <row r="17" spans="21:22" ht="15.75" thickBot="1">
      <c r="U17" s="69" t="s">
        <v>114</v>
      </c>
      <c r="V17" s="70"/>
    </row>
    <row r="18" spans="21:22" ht="15.75" thickBot="1"/>
    <row r="19" spans="21:22" ht="15.75" thickBot="1">
      <c r="U19" s="69" t="s">
        <v>113</v>
      </c>
      <c r="V19" s="70"/>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F90815-0DAA-4C5B-89C6-669933C3DCE7}">
  <sheetPr codeName="Sheet12"/>
  <dimension ref="B2:B20"/>
  <sheetViews>
    <sheetView workbookViewId="0">
      <selection activeCell="H9" sqref="H9"/>
    </sheetView>
  </sheetViews>
  <sheetFormatPr defaultRowHeight="15"/>
  <cols>
    <col min="1" max="16384" width="9.140625" style="1"/>
  </cols>
  <sheetData>
    <row r="2" spans="2:2">
      <c r="B2" s="1" t="s">
        <v>437</v>
      </c>
    </row>
    <row r="3" spans="2:2">
      <c r="B3" s="1" t="s">
        <v>438</v>
      </c>
    </row>
    <row r="4" spans="2:2">
      <c r="B4" s="1" t="s">
        <v>439</v>
      </c>
    </row>
    <row r="5" spans="2:2">
      <c r="B5" s="1" t="s">
        <v>440</v>
      </c>
    </row>
    <row r="6" spans="2:2">
      <c r="B6" s="1" t="s">
        <v>441</v>
      </c>
    </row>
    <row r="7" spans="2:2">
      <c r="B7" s="1" t="s">
        <v>442</v>
      </c>
    </row>
    <row r="8" spans="2:2">
      <c r="B8" s="1" t="s">
        <v>443</v>
      </c>
    </row>
    <row r="9" spans="2:2">
      <c r="B9" s="1" t="s">
        <v>444</v>
      </c>
    </row>
    <row r="10" spans="2:2">
      <c r="B10" s="1" t="s">
        <v>445</v>
      </c>
    </row>
    <row r="11" spans="2:2">
      <c r="B11" s="1" t="s">
        <v>446</v>
      </c>
    </row>
    <row r="12" spans="2:2">
      <c r="B12" s="1" t="s">
        <v>447</v>
      </c>
    </row>
    <row r="13" spans="2:2">
      <c r="B13" s="1" t="s">
        <v>448</v>
      </c>
    </row>
    <row r="14" spans="2:2">
      <c r="B14" s="1" t="s">
        <v>449</v>
      </c>
    </row>
    <row r="15" spans="2:2">
      <c r="B15" s="1" t="s">
        <v>450</v>
      </c>
    </row>
    <row r="16" spans="2:2">
      <c r="B16" s="1" t="s">
        <v>451</v>
      </c>
    </row>
    <row r="17" spans="2:2">
      <c r="B17" s="1" t="s">
        <v>452</v>
      </c>
    </row>
    <row r="18" spans="2:2">
      <c r="B18" s="1" t="s">
        <v>453</v>
      </c>
    </row>
    <row r="19" spans="2:2">
      <c r="B19" s="1" t="s">
        <v>454</v>
      </c>
    </row>
    <row r="20" spans="2:2">
      <c r="B20" s="1" t="s">
        <v>455</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ABA2C-F0FD-41FA-A2E1-50B312BD626C}">
  <sheetPr codeName="Sheet4"/>
  <dimension ref="B2:U29"/>
  <sheetViews>
    <sheetView workbookViewId="0">
      <selection activeCell="C31" sqref="C31"/>
    </sheetView>
  </sheetViews>
  <sheetFormatPr defaultRowHeight="15"/>
  <cols>
    <col min="1" max="16384" width="9.140625" style="1"/>
  </cols>
  <sheetData>
    <row r="2" spans="2:21" ht="21">
      <c r="B2" s="68" t="s">
        <v>242</v>
      </c>
      <c r="F2" s="1" t="s">
        <v>249</v>
      </c>
      <c r="O2" s="68" t="s">
        <v>257</v>
      </c>
    </row>
    <row r="4" spans="2:21">
      <c r="C4" s="67" t="s">
        <v>243</v>
      </c>
      <c r="Q4" s="80"/>
    </row>
    <row r="5" spans="2:21">
      <c r="C5" s="1" t="s">
        <v>250</v>
      </c>
      <c r="Q5" s="81"/>
    </row>
    <row r="6" spans="2:21">
      <c r="C6" s="1" t="s">
        <v>426</v>
      </c>
      <c r="Q6" s="82"/>
    </row>
    <row r="7" spans="2:21">
      <c r="Q7" s="80"/>
      <c r="U7" s="1" t="s">
        <v>172</v>
      </c>
    </row>
    <row r="8" spans="2:21">
      <c r="C8" s="67" t="s">
        <v>244</v>
      </c>
      <c r="Q8" s="81"/>
    </row>
    <row r="9" spans="2:21">
      <c r="C9" s="1" t="s">
        <v>251</v>
      </c>
      <c r="Q9" s="82"/>
    </row>
    <row r="10" spans="2:21">
      <c r="C10" s="1" t="s">
        <v>427</v>
      </c>
      <c r="Q10" s="80"/>
    </row>
    <row r="11" spans="2:21">
      <c r="Q11" s="81"/>
    </row>
    <row r="12" spans="2:21">
      <c r="C12" s="67" t="s">
        <v>245</v>
      </c>
      <c r="Q12" s="82"/>
    </row>
    <row r="13" spans="2:21">
      <c r="C13" s="1" t="s">
        <v>253</v>
      </c>
      <c r="Q13" s="80"/>
    </row>
    <row r="14" spans="2:21">
      <c r="C14" s="1" t="s">
        <v>252</v>
      </c>
      <c r="Q14" s="81"/>
    </row>
    <row r="15" spans="2:21">
      <c r="Q15" s="82"/>
    </row>
    <row r="16" spans="2:21">
      <c r="C16" s="67" t="s">
        <v>247</v>
      </c>
      <c r="Q16" s="80"/>
    </row>
    <row r="17" spans="3:17">
      <c r="C17" s="1" t="s">
        <v>254</v>
      </c>
      <c r="Q17" s="81"/>
    </row>
    <row r="18" spans="3:17">
      <c r="C18" s="1" t="s">
        <v>255</v>
      </c>
      <c r="Q18" s="82"/>
    </row>
    <row r="19" spans="3:17">
      <c r="Q19" s="80"/>
    </row>
    <row r="20" spans="3:17">
      <c r="C20" s="67" t="s">
        <v>246</v>
      </c>
      <c r="Q20" s="81"/>
    </row>
    <row r="21" spans="3:17" ht="16.5">
      <c r="C21" s="1" t="s">
        <v>256</v>
      </c>
      <c r="Q21" s="83"/>
    </row>
    <row r="22" spans="3:17" ht="17.25">
      <c r="Q22" s="84"/>
    </row>
    <row r="24" spans="3:17" ht="16.5">
      <c r="Q24" s="85"/>
    </row>
    <row r="25" spans="3:17">
      <c r="Q25" s="86"/>
    </row>
    <row r="26" spans="3:17" ht="16.5">
      <c r="Q26" s="83"/>
    </row>
    <row r="27" spans="3:17" ht="16.5">
      <c r="Q27" s="85"/>
    </row>
    <row r="28" spans="3:17" ht="17.25">
      <c r="Q28" s="84"/>
    </row>
    <row r="29" spans="3:17" ht="18.75">
      <c r="C29" s="254" t="s">
        <v>433</v>
      </c>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C146F-C23A-43AE-9C48-F46D0C2F4C89}">
  <sheetPr codeName="Sheet7"/>
  <dimension ref="A1:M47"/>
  <sheetViews>
    <sheetView workbookViewId="0">
      <selection activeCell="D4" sqref="D4"/>
    </sheetView>
  </sheetViews>
  <sheetFormatPr defaultRowHeight="15"/>
  <cols>
    <col min="1" max="1" width="14.28515625" style="1" bestFit="1" customWidth="1"/>
    <col min="2" max="2" width="8.85546875" style="1" bestFit="1" customWidth="1"/>
    <col min="3" max="12" width="22.28515625" style="1" customWidth="1"/>
    <col min="13" max="13" width="11.5703125" style="1" bestFit="1" customWidth="1"/>
    <col min="14" max="16384" width="9.140625" style="1"/>
  </cols>
  <sheetData>
    <row r="1" spans="1:13" ht="15.75" thickBot="1">
      <c r="A1" s="355" t="s">
        <v>367</v>
      </c>
      <c r="B1" s="355"/>
      <c r="C1" s="355"/>
      <c r="D1" s="355"/>
      <c r="E1" s="355"/>
      <c r="F1" s="355"/>
      <c r="G1" s="355"/>
      <c r="H1" s="355"/>
      <c r="I1" s="355"/>
      <c r="J1" s="355"/>
      <c r="K1" s="355"/>
      <c r="L1" s="355"/>
    </row>
    <row r="2" spans="1:13" ht="15.75" thickBot="1">
      <c r="A2" s="172"/>
      <c r="B2" s="173"/>
      <c r="C2" s="173"/>
      <c r="D2" s="174" t="s">
        <v>368</v>
      </c>
      <c r="E2" s="175" t="s">
        <v>369</v>
      </c>
      <c r="F2" s="174" t="s">
        <v>370</v>
      </c>
      <c r="G2" s="176"/>
      <c r="H2" s="174" t="s">
        <v>368</v>
      </c>
      <c r="I2" s="175" t="s">
        <v>369</v>
      </c>
      <c r="J2" s="174" t="s">
        <v>370</v>
      </c>
      <c r="K2" s="177"/>
      <c r="L2" s="177"/>
    </row>
    <row r="3" spans="1:13" ht="15.75" thickBot="1">
      <c r="A3" s="356" t="s">
        <v>371</v>
      </c>
      <c r="B3" s="357"/>
      <c r="C3" s="178" t="s">
        <v>372</v>
      </c>
      <c r="D3" s="179"/>
      <c r="E3" s="180"/>
      <c r="F3" s="179"/>
      <c r="G3" s="181" t="s">
        <v>373</v>
      </c>
      <c r="H3" s="179"/>
      <c r="I3" s="180"/>
      <c r="J3" s="179"/>
      <c r="K3" s="182"/>
      <c r="L3" s="182"/>
      <c r="M3" s="183"/>
    </row>
    <row r="4" spans="1:13" ht="23.25" thickBot="1">
      <c r="A4" s="358"/>
      <c r="B4" s="359"/>
      <c r="C4" s="37" t="s">
        <v>374</v>
      </c>
      <c r="D4" s="184"/>
      <c r="F4" s="184"/>
      <c r="G4" s="37" t="s">
        <v>375</v>
      </c>
      <c r="H4" s="184"/>
      <c r="J4" s="184"/>
    </row>
    <row r="5" spans="1:13" ht="15.75" thickBot="1">
      <c r="A5" s="358"/>
      <c r="B5" s="359"/>
      <c r="C5" s="185" t="s">
        <v>376</v>
      </c>
      <c r="D5" s="70"/>
      <c r="E5" s="186"/>
      <c r="F5" s="70"/>
      <c r="G5" s="181" t="s">
        <v>377</v>
      </c>
      <c r="H5" s="70"/>
      <c r="I5" s="186"/>
      <c r="J5" s="70"/>
    </row>
    <row r="6" spans="1:13" ht="34.5" thickBot="1">
      <c r="A6" s="358"/>
      <c r="B6" s="359"/>
      <c r="C6" s="37" t="s">
        <v>378</v>
      </c>
      <c r="D6" s="184"/>
      <c r="F6" s="184"/>
      <c r="G6" s="37" t="s">
        <v>379</v>
      </c>
      <c r="H6" s="184"/>
      <c r="J6" s="184"/>
    </row>
    <row r="7" spans="1:13" ht="23.25" thickBot="1">
      <c r="A7" s="360"/>
      <c r="B7" s="361"/>
      <c r="C7" s="185" t="s">
        <v>380</v>
      </c>
      <c r="D7" s="70"/>
      <c r="E7" s="186"/>
      <c r="F7" s="70"/>
      <c r="G7" s="181" t="s">
        <v>381</v>
      </c>
      <c r="H7" s="70"/>
      <c r="I7" s="186"/>
      <c r="J7" s="70"/>
    </row>
    <row r="8" spans="1:13" ht="15.75" thickBot="1">
      <c r="A8" s="362" t="s">
        <v>45</v>
      </c>
      <c r="B8" s="363"/>
      <c r="C8" s="363"/>
      <c r="D8" s="363"/>
      <c r="E8" s="363"/>
      <c r="F8" s="363"/>
      <c r="G8" s="363"/>
      <c r="H8" s="363"/>
      <c r="I8" s="363"/>
      <c r="J8" s="363"/>
      <c r="K8" s="363"/>
      <c r="L8" s="363"/>
    </row>
    <row r="9" spans="1:13" ht="36.75" thickBot="1">
      <c r="A9" s="222" t="s">
        <v>382</v>
      </c>
      <c r="B9" s="223" t="s">
        <v>383</v>
      </c>
      <c r="C9" s="364" t="s">
        <v>384</v>
      </c>
      <c r="D9" s="365"/>
      <c r="E9" s="366" t="s">
        <v>385</v>
      </c>
      <c r="F9" s="366"/>
      <c r="G9" s="364" t="s">
        <v>386</v>
      </c>
      <c r="H9" s="365"/>
      <c r="I9" s="366" t="s">
        <v>387</v>
      </c>
      <c r="J9" s="365"/>
      <c r="K9" s="364" t="s">
        <v>388</v>
      </c>
      <c r="L9" s="365"/>
    </row>
    <row r="10" spans="1:13" ht="15.75" thickBot="1">
      <c r="A10" s="350" t="s">
        <v>389</v>
      </c>
      <c r="B10" s="351"/>
      <c r="C10" s="187" t="s">
        <v>390</v>
      </c>
      <c r="D10" s="188" t="s">
        <v>391</v>
      </c>
      <c r="E10" s="189" t="s">
        <v>390</v>
      </c>
      <c r="F10" s="190" t="s">
        <v>391</v>
      </c>
      <c r="G10" s="187" t="s">
        <v>390</v>
      </c>
      <c r="H10" s="188" t="s">
        <v>391</v>
      </c>
      <c r="I10" s="189" t="s">
        <v>390</v>
      </c>
      <c r="J10" s="188" t="s">
        <v>391</v>
      </c>
      <c r="K10" s="187" t="s">
        <v>390</v>
      </c>
      <c r="L10" s="188" t="s">
        <v>391</v>
      </c>
    </row>
    <row r="11" spans="1:13" ht="15.75" thickBot="1">
      <c r="A11" s="293"/>
      <c r="B11" s="352"/>
      <c r="C11" s="191"/>
      <c r="D11" s="192"/>
      <c r="E11" s="193"/>
      <c r="F11" s="194"/>
      <c r="G11" s="191"/>
      <c r="H11" s="192"/>
      <c r="I11" s="193"/>
      <c r="J11" s="192"/>
      <c r="K11" s="191"/>
      <c r="L11" s="192"/>
      <c r="M11" s="56" t="s">
        <v>47</v>
      </c>
    </row>
    <row r="12" spans="1:13" ht="15.75" thickBot="1">
      <c r="A12" s="295"/>
      <c r="B12" s="353"/>
      <c r="C12" s="345"/>
      <c r="D12" s="346"/>
      <c r="E12" s="349"/>
      <c r="F12" s="349"/>
      <c r="G12" s="345"/>
      <c r="H12" s="346"/>
      <c r="I12" s="349"/>
      <c r="J12" s="346"/>
      <c r="K12" s="345"/>
      <c r="L12" s="346"/>
      <c r="M12" s="56" t="s">
        <v>392</v>
      </c>
    </row>
    <row r="13" spans="1:13" ht="15.75" thickBot="1">
      <c r="A13" s="350" t="s">
        <v>393</v>
      </c>
      <c r="B13" s="351"/>
      <c r="C13" s="187" t="s">
        <v>390</v>
      </c>
      <c r="D13" s="188" t="s">
        <v>391</v>
      </c>
      <c r="E13" s="189" t="s">
        <v>390</v>
      </c>
      <c r="F13" s="190" t="s">
        <v>391</v>
      </c>
      <c r="G13" s="187" t="s">
        <v>390</v>
      </c>
      <c r="H13" s="188" t="s">
        <v>391</v>
      </c>
      <c r="I13" s="189" t="s">
        <v>390</v>
      </c>
      <c r="J13" s="188" t="s">
        <v>391</v>
      </c>
      <c r="K13" s="187" t="s">
        <v>390</v>
      </c>
      <c r="L13" s="188" t="s">
        <v>391</v>
      </c>
      <c r="M13" s="115"/>
    </row>
    <row r="14" spans="1:13" ht="15.75" thickBot="1">
      <c r="A14" s="293"/>
      <c r="B14" s="352"/>
      <c r="C14" s="191"/>
      <c r="D14" s="192"/>
      <c r="E14" s="193"/>
      <c r="F14" s="194"/>
      <c r="G14" s="191"/>
      <c r="H14" s="192"/>
      <c r="I14" s="193"/>
      <c r="J14" s="192"/>
      <c r="K14" s="191"/>
      <c r="L14" s="192"/>
      <c r="M14" s="56" t="s">
        <v>47</v>
      </c>
    </row>
    <row r="15" spans="1:13" ht="15.75" thickBot="1">
      <c r="A15" s="293"/>
      <c r="B15" s="353"/>
      <c r="C15" s="345"/>
      <c r="D15" s="346"/>
      <c r="E15" s="349"/>
      <c r="F15" s="349"/>
      <c r="G15" s="345"/>
      <c r="H15" s="346"/>
      <c r="I15" s="349"/>
      <c r="J15" s="346"/>
      <c r="K15" s="345"/>
      <c r="L15" s="346"/>
      <c r="M15" s="56" t="s">
        <v>392</v>
      </c>
    </row>
    <row r="16" spans="1:13" ht="15.75" thickBot="1">
      <c r="A16" s="291" t="s">
        <v>394</v>
      </c>
      <c r="B16" s="347"/>
      <c r="C16" s="187" t="s">
        <v>390</v>
      </c>
      <c r="D16" s="188" t="s">
        <v>391</v>
      </c>
      <c r="E16" s="189" t="s">
        <v>390</v>
      </c>
      <c r="F16" s="190" t="s">
        <v>391</v>
      </c>
      <c r="G16" s="187" t="s">
        <v>390</v>
      </c>
      <c r="H16" s="188" t="s">
        <v>391</v>
      </c>
      <c r="I16" s="189" t="s">
        <v>390</v>
      </c>
      <c r="J16" s="188" t="s">
        <v>391</v>
      </c>
      <c r="K16" s="187" t="s">
        <v>390</v>
      </c>
      <c r="L16" s="188" t="s">
        <v>391</v>
      </c>
      <c r="M16" s="115"/>
    </row>
    <row r="17" spans="1:13" ht="15.75" thickBot="1">
      <c r="A17" s="293"/>
      <c r="B17" s="348"/>
      <c r="C17" s="191"/>
      <c r="D17" s="192"/>
      <c r="E17" s="193"/>
      <c r="F17" s="194"/>
      <c r="G17" s="191"/>
      <c r="H17" s="192"/>
      <c r="I17" s="193"/>
      <c r="J17" s="192"/>
      <c r="K17" s="191"/>
      <c r="L17" s="192"/>
      <c r="M17" s="56" t="s">
        <v>47</v>
      </c>
    </row>
    <row r="18" spans="1:13" ht="15.75" thickBot="1">
      <c r="A18" s="293"/>
      <c r="B18" s="354"/>
      <c r="C18" s="345"/>
      <c r="D18" s="346"/>
      <c r="E18" s="349"/>
      <c r="F18" s="349"/>
      <c r="G18" s="345"/>
      <c r="H18" s="346"/>
      <c r="I18" s="349"/>
      <c r="J18" s="346"/>
      <c r="K18" s="345"/>
      <c r="L18" s="346"/>
      <c r="M18" s="56" t="s">
        <v>392</v>
      </c>
    </row>
    <row r="19" spans="1:13" ht="15.75" thickBot="1">
      <c r="A19" s="350" t="s">
        <v>395</v>
      </c>
      <c r="B19" s="351"/>
      <c r="C19" s="187" t="s">
        <v>390</v>
      </c>
      <c r="D19" s="188" t="s">
        <v>391</v>
      </c>
      <c r="E19" s="189" t="s">
        <v>390</v>
      </c>
      <c r="F19" s="190" t="s">
        <v>391</v>
      </c>
      <c r="G19" s="187" t="s">
        <v>390</v>
      </c>
      <c r="H19" s="188" t="s">
        <v>391</v>
      </c>
      <c r="I19" s="189" t="s">
        <v>390</v>
      </c>
      <c r="J19" s="188" t="s">
        <v>391</v>
      </c>
      <c r="K19" s="187" t="s">
        <v>390</v>
      </c>
      <c r="L19" s="188" t="s">
        <v>391</v>
      </c>
    </row>
    <row r="20" spans="1:13" ht="15.75" thickBot="1">
      <c r="A20" s="293"/>
      <c r="B20" s="352"/>
      <c r="C20" s="191"/>
      <c r="D20" s="192"/>
      <c r="E20" s="193"/>
      <c r="F20" s="194"/>
      <c r="G20" s="191"/>
      <c r="H20" s="192"/>
      <c r="I20" s="193"/>
      <c r="J20" s="192"/>
      <c r="K20" s="191"/>
      <c r="L20" s="192"/>
      <c r="M20" s="56" t="s">
        <v>47</v>
      </c>
    </row>
    <row r="21" spans="1:13" ht="15.75" thickBot="1">
      <c r="A21" s="293"/>
      <c r="B21" s="353"/>
      <c r="C21" s="345"/>
      <c r="D21" s="346"/>
      <c r="E21" s="349"/>
      <c r="F21" s="349"/>
      <c r="G21" s="345"/>
      <c r="H21" s="346"/>
      <c r="I21" s="349"/>
      <c r="J21" s="346"/>
      <c r="K21" s="345"/>
      <c r="L21" s="346"/>
      <c r="M21" s="56" t="s">
        <v>392</v>
      </c>
    </row>
    <row r="22" spans="1:13" ht="15.75" thickBot="1">
      <c r="A22" s="291" t="s">
        <v>396</v>
      </c>
      <c r="B22" s="347"/>
      <c r="C22" s="187" t="s">
        <v>390</v>
      </c>
      <c r="D22" s="188" t="s">
        <v>391</v>
      </c>
      <c r="E22" s="189" t="s">
        <v>390</v>
      </c>
      <c r="F22" s="190" t="s">
        <v>391</v>
      </c>
      <c r="G22" s="187" t="s">
        <v>390</v>
      </c>
      <c r="H22" s="188" t="s">
        <v>391</v>
      </c>
      <c r="I22" s="189" t="s">
        <v>390</v>
      </c>
      <c r="J22" s="188" t="s">
        <v>391</v>
      </c>
      <c r="K22" s="187" t="s">
        <v>390</v>
      </c>
      <c r="L22" s="188" t="s">
        <v>391</v>
      </c>
      <c r="M22" s="115"/>
    </row>
    <row r="23" spans="1:13" ht="15.75" thickBot="1">
      <c r="A23" s="293"/>
      <c r="B23" s="348"/>
      <c r="C23" s="191"/>
      <c r="D23" s="192"/>
      <c r="E23" s="193"/>
      <c r="F23" s="194"/>
      <c r="G23" s="191"/>
      <c r="H23" s="192"/>
      <c r="I23" s="193"/>
      <c r="J23" s="192"/>
      <c r="K23" s="191"/>
      <c r="L23" s="192"/>
      <c r="M23" s="56" t="s">
        <v>47</v>
      </c>
    </row>
    <row r="24" spans="1:13" ht="15.75" thickBot="1">
      <c r="A24" s="293"/>
      <c r="B24" s="348"/>
      <c r="C24" s="345"/>
      <c r="D24" s="346"/>
      <c r="E24" s="349"/>
      <c r="F24" s="349"/>
      <c r="G24" s="345"/>
      <c r="H24" s="346"/>
      <c r="I24" s="349"/>
      <c r="J24" s="346"/>
      <c r="K24" s="345"/>
      <c r="L24" s="346"/>
      <c r="M24" s="56" t="s">
        <v>392</v>
      </c>
    </row>
    <row r="25" spans="1:13" ht="15.75" thickBot="1">
      <c r="A25" s="291" t="s">
        <v>397</v>
      </c>
      <c r="B25" s="347"/>
      <c r="C25" s="187" t="s">
        <v>390</v>
      </c>
      <c r="D25" s="188" t="s">
        <v>391</v>
      </c>
      <c r="E25" s="189" t="s">
        <v>390</v>
      </c>
      <c r="F25" s="190" t="s">
        <v>391</v>
      </c>
      <c r="G25" s="187" t="s">
        <v>390</v>
      </c>
      <c r="H25" s="188" t="s">
        <v>391</v>
      </c>
      <c r="I25" s="189" t="s">
        <v>390</v>
      </c>
      <c r="J25" s="188" t="s">
        <v>391</v>
      </c>
      <c r="K25" s="187" t="s">
        <v>390</v>
      </c>
      <c r="L25" s="188" t="s">
        <v>391</v>
      </c>
      <c r="M25" s="115"/>
    </row>
    <row r="26" spans="1:13" ht="15.75" thickBot="1">
      <c r="A26" s="293"/>
      <c r="B26" s="348"/>
      <c r="C26" s="191"/>
      <c r="D26" s="192"/>
      <c r="E26" s="193"/>
      <c r="F26" s="194"/>
      <c r="G26" s="191"/>
      <c r="H26" s="192"/>
      <c r="I26" s="193"/>
      <c r="J26" s="192"/>
      <c r="K26" s="191"/>
      <c r="L26" s="192"/>
      <c r="M26" s="56" t="s">
        <v>47</v>
      </c>
    </row>
    <row r="27" spans="1:13" ht="15.75" thickBot="1">
      <c r="A27" s="293"/>
      <c r="B27" s="348"/>
      <c r="C27" s="345"/>
      <c r="D27" s="346"/>
      <c r="E27" s="349"/>
      <c r="F27" s="349"/>
      <c r="G27" s="345"/>
      <c r="H27" s="346"/>
      <c r="I27" s="349"/>
      <c r="J27" s="346"/>
      <c r="K27" s="345"/>
      <c r="L27" s="346"/>
      <c r="M27" s="56" t="s">
        <v>392</v>
      </c>
    </row>
    <row r="28" spans="1:13">
      <c r="A28" s="337" t="s">
        <v>398</v>
      </c>
      <c r="B28" s="338"/>
      <c r="C28" s="338"/>
      <c r="D28" s="338"/>
      <c r="E28" s="338"/>
      <c r="F28" s="338"/>
      <c r="G28" s="338"/>
      <c r="H28" s="338"/>
      <c r="I28" s="338"/>
      <c r="J28" s="338"/>
      <c r="K28" s="338"/>
      <c r="L28" s="338"/>
      <c r="M28" s="67"/>
    </row>
    <row r="29" spans="1:13">
      <c r="A29" s="195"/>
      <c r="B29" s="195"/>
      <c r="C29" s="195"/>
      <c r="F29" s="195" t="s">
        <v>27</v>
      </c>
      <c r="G29" s="195" t="s">
        <v>28</v>
      </c>
      <c r="H29" s="195"/>
      <c r="I29" s="195"/>
      <c r="J29" s="195"/>
      <c r="K29" s="195"/>
      <c r="L29" s="195"/>
      <c r="M29" s="67"/>
    </row>
    <row r="30" spans="1:13">
      <c r="D30" s="8"/>
      <c r="E30" s="196" t="s">
        <v>399</v>
      </c>
      <c r="F30" s="8"/>
      <c r="G30" s="8"/>
      <c r="H30" s="8"/>
      <c r="I30" s="8"/>
      <c r="J30" s="8"/>
      <c r="K30" s="8"/>
      <c r="L30" s="8"/>
      <c r="M30" s="67"/>
    </row>
    <row r="31" spans="1:13" ht="15.75" thickBot="1">
      <c r="A31" s="339" t="s">
        <v>400</v>
      </c>
      <c r="B31" s="340"/>
      <c r="C31" s="340"/>
      <c r="D31" s="340"/>
      <c r="E31" s="340"/>
      <c r="F31" s="340"/>
      <c r="G31" s="340"/>
      <c r="H31" s="340"/>
      <c r="I31" s="340"/>
      <c r="J31" s="340"/>
      <c r="K31" s="340"/>
      <c r="L31" s="340"/>
    </row>
    <row r="32" spans="1:13" ht="15.75" thickBot="1">
      <c r="A32" s="197" t="s">
        <v>401</v>
      </c>
      <c r="B32" s="197"/>
      <c r="C32" s="341" t="s">
        <v>402</v>
      </c>
      <c r="D32" s="342"/>
      <c r="E32" s="343" t="s">
        <v>403</v>
      </c>
      <c r="F32" s="344"/>
      <c r="G32" s="341" t="s">
        <v>404</v>
      </c>
      <c r="H32" s="342"/>
      <c r="I32" s="343" t="s">
        <v>405</v>
      </c>
      <c r="J32" s="342"/>
      <c r="K32" s="198"/>
      <c r="L32" s="198"/>
    </row>
    <row r="33" spans="1:12" ht="153.75" customHeight="1" thickBot="1">
      <c r="A33" s="325" t="s">
        <v>406</v>
      </c>
      <c r="B33" s="326"/>
      <c r="C33" s="327" t="s">
        <v>407</v>
      </c>
      <c r="D33" s="328"/>
      <c r="E33" s="329" t="s">
        <v>408</v>
      </c>
      <c r="F33" s="330"/>
      <c r="G33" s="327" t="s">
        <v>409</v>
      </c>
      <c r="H33" s="328"/>
      <c r="I33" s="329" t="s">
        <v>410</v>
      </c>
      <c r="J33" s="328"/>
    </row>
    <row r="34" spans="1:12" ht="16.5" thickTop="1" thickBot="1">
      <c r="A34" s="331" t="s">
        <v>29</v>
      </c>
      <c r="B34" s="332"/>
      <c r="C34" s="333" t="s">
        <v>28</v>
      </c>
      <c r="D34" s="334"/>
      <c r="E34" s="335" t="s">
        <v>28</v>
      </c>
      <c r="F34" s="336"/>
      <c r="G34" s="333" t="s">
        <v>28</v>
      </c>
      <c r="H34" s="334"/>
      <c r="I34" s="335" t="s">
        <v>28</v>
      </c>
      <c r="J34" s="334"/>
      <c r="K34" s="307"/>
      <c r="L34" s="307"/>
    </row>
    <row r="35" spans="1:12">
      <c r="A35" s="291" t="s">
        <v>411</v>
      </c>
      <c r="B35" s="292"/>
      <c r="C35" s="199" t="s">
        <v>390</v>
      </c>
      <c r="D35" s="200" t="s">
        <v>391</v>
      </c>
      <c r="E35" s="201" t="s">
        <v>390</v>
      </c>
      <c r="F35" s="202" t="s">
        <v>391</v>
      </c>
      <c r="G35" s="199" t="s">
        <v>390</v>
      </c>
      <c r="H35" s="200" t="s">
        <v>391</v>
      </c>
      <c r="I35" s="201" t="s">
        <v>390</v>
      </c>
      <c r="J35" s="200" t="s">
        <v>391</v>
      </c>
    </row>
    <row r="36" spans="1:12" ht="15.75" thickBot="1">
      <c r="A36" s="295"/>
      <c r="B36" s="296"/>
      <c r="C36" s="311"/>
      <c r="D36" s="312"/>
      <c r="E36" s="313"/>
      <c r="F36" s="314"/>
      <c r="G36" s="315"/>
      <c r="H36" s="316"/>
      <c r="I36" s="205"/>
      <c r="J36" s="143"/>
    </row>
    <row r="37" spans="1:12" ht="52.5" customHeight="1" thickBot="1">
      <c r="A37" s="317" t="s">
        <v>412</v>
      </c>
      <c r="B37" s="318"/>
      <c r="C37" s="319"/>
      <c r="D37" s="320"/>
      <c r="E37" s="321"/>
      <c r="F37" s="322"/>
      <c r="G37" s="323"/>
      <c r="H37" s="324"/>
      <c r="I37" s="321"/>
      <c r="J37" s="324"/>
    </row>
    <row r="38" spans="1:12" ht="15.75" thickBot="1">
      <c r="A38" s="308" t="s">
        <v>413</v>
      </c>
      <c r="B38" s="309"/>
      <c r="C38" s="309"/>
      <c r="D38" s="309"/>
      <c r="E38" s="309"/>
      <c r="F38" s="309"/>
      <c r="G38" s="309"/>
      <c r="H38" s="309"/>
      <c r="I38" s="309"/>
      <c r="J38" s="310"/>
    </row>
    <row r="39" spans="1:12" ht="15.75" thickBot="1">
      <c r="A39" s="297" t="s">
        <v>414</v>
      </c>
      <c r="B39" s="298"/>
      <c r="C39" s="303"/>
      <c r="D39" s="304"/>
      <c r="E39" s="305"/>
      <c r="F39" s="306"/>
      <c r="G39" s="303"/>
      <c r="H39" s="304"/>
      <c r="I39" s="305"/>
      <c r="J39" s="304"/>
      <c r="K39" s="307"/>
      <c r="L39" s="307"/>
    </row>
    <row r="40" spans="1:12" ht="15.75" thickBot="1">
      <c r="A40" s="297" t="s">
        <v>415</v>
      </c>
      <c r="B40" s="298"/>
      <c r="C40" s="206"/>
      <c r="D40" s="207"/>
      <c r="E40" s="305"/>
      <c r="F40" s="306"/>
      <c r="G40" s="303"/>
      <c r="H40" s="304"/>
      <c r="I40" s="305"/>
      <c r="J40" s="304"/>
      <c r="K40" s="307"/>
      <c r="L40" s="307"/>
    </row>
    <row r="41" spans="1:12" ht="15.75" thickBot="1">
      <c r="A41" s="297" t="s">
        <v>416</v>
      </c>
      <c r="B41" s="298"/>
      <c r="C41" s="303" t="s">
        <v>417</v>
      </c>
      <c r="D41" s="304"/>
      <c r="E41" s="305"/>
      <c r="F41" s="306"/>
      <c r="G41" s="303"/>
      <c r="H41" s="304"/>
      <c r="I41" s="305"/>
      <c r="J41" s="304"/>
      <c r="K41" s="307"/>
      <c r="L41" s="307"/>
    </row>
    <row r="42" spans="1:12" ht="15.75" thickBot="1">
      <c r="A42" s="297" t="s">
        <v>418</v>
      </c>
      <c r="B42" s="298"/>
      <c r="C42" s="299"/>
      <c r="D42" s="300"/>
      <c r="E42" s="301"/>
      <c r="F42" s="302"/>
      <c r="G42" s="299"/>
      <c r="H42" s="300"/>
      <c r="I42" s="301"/>
      <c r="J42" s="300"/>
    </row>
    <row r="43" spans="1:12" ht="24">
      <c r="A43" s="291" t="s">
        <v>419</v>
      </c>
      <c r="B43" s="292"/>
      <c r="C43" s="208" t="s">
        <v>420</v>
      </c>
      <c r="D43" s="152">
        <v>8</v>
      </c>
      <c r="E43" s="209" t="s">
        <v>420</v>
      </c>
      <c r="F43" s="210"/>
      <c r="G43" s="208" t="s">
        <v>420</v>
      </c>
      <c r="H43" s="152"/>
      <c r="I43" s="209" t="s">
        <v>420</v>
      </c>
      <c r="J43" s="152"/>
    </row>
    <row r="44" spans="1:12" ht="15.75" thickBot="1">
      <c r="A44" s="295"/>
      <c r="B44" s="296"/>
      <c r="C44" s="203" t="s">
        <v>421</v>
      </c>
      <c r="D44" s="204">
        <f>(C42*D43)/1000</f>
        <v>0</v>
      </c>
      <c r="E44" s="211" t="s">
        <v>421</v>
      </c>
      <c r="F44" s="212">
        <f>(E42*F43)/1000</f>
        <v>0</v>
      </c>
      <c r="G44" s="203" t="s">
        <v>421</v>
      </c>
      <c r="H44" s="204">
        <f>(G42*H43)/1000</f>
        <v>0</v>
      </c>
      <c r="I44" s="211" t="s">
        <v>421</v>
      </c>
      <c r="J44" s="204">
        <f>(I42*J43)/1000</f>
        <v>0</v>
      </c>
    </row>
    <row r="45" spans="1:12" ht="25.5" thickBot="1">
      <c r="A45" s="291" t="s">
        <v>422</v>
      </c>
      <c r="B45" s="292"/>
      <c r="C45" s="213" t="s">
        <v>423</v>
      </c>
      <c r="D45" s="214">
        <v>914</v>
      </c>
      <c r="E45" s="215" t="s">
        <v>423</v>
      </c>
      <c r="F45" s="163"/>
      <c r="G45" s="213" t="s">
        <v>423</v>
      </c>
      <c r="H45" s="214"/>
      <c r="I45" s="215" t="s">
        <v>423</v>
      </c>
      <c r="J45" s="214"/>
    </row>
    <row r="46" spans="1:12" ht="15.75" thickBot="1">
      <c r="A46" s="293"/>
      <c r="B46" s="294"/>
      <c r="C46" s="191" t="s">
        <v>424</v>
      </c>
      <c r="D46" s="216">
        <v>720</v>
      </c>
      <c r="E46" s="193" t="s">
        <v>424</v>
      </c>
      <c r="F46" s="217">
        <v>720</v>
      </c>
      <c r="G46" s="191" t="s">
        <v>424</v>
      </c>
      <c r="H46" s="216">
        <v>720</v>
      </c>
      <c r="I46" s="193" t="s">
        <v>424</v>
      </c>
      <c r="J46" s="216">
        <v>720</v>
      </c>
    </row>
    <row r="47" spans="1:12" ht="15.75" thickBot="1">
      <c r="A47" s="295"/>
      <c r="B47" s="296"/>
      <c r="C47" s="218" t="s">
        <v>422</v>
      </c>
      <c r="D47" s="219">
        <f>D45/D46/D43</f>
        <v>0.15868055555555555</v>
      </c>
      <c r="E47" s="220" t="s">
        <v>422</v>
      </c>
      <c r="F47" s="221" t="e">
        <f>F45/F46/F43</f>
        <v>#DIV/0!</v>
      </c>
      <c r="G47" s="218" t="s">
        <v>422</v>
      </c>
      <c r="H47" s="219" t="e">
        <f>H45/H46/H43</f>
        <v>#DIV/0!</v>
      </c>
      <c r="I47" s="220" t="s">
        <v>422</v>
      </c>
      <c r="J47" s="219" t="e">
        <f>J45/J46/J43</f>
        <v>#DIV/0!</v>
      </c>
    </row>
  </sheetData>
  <mergeCells count="101">
    <mergeCell ref="A1:L1"/>
    <mergeCell ref="A3:B7"/>
    <mergeCell ref="A8:L8"/>
    <mergeCell ref="C9:D9"/>
    <mergeCell ref="E9:F9"/>
    <mergeCell ref="G9:H9"/>
    <mergeCell ref="I9:J9"/>
    <mergeCell ref="K9:L9"/>
    <mergeCell ref="K12:L12"/>
    <mergeCell ref="A13:A15"/>
    <mergeCell ref="B13:B15"/>
    <mergeCell ref="C15:D15"/>
    <mergeCell ref="E15:F15"/>
    <mergeCell ref="G15:H15"/>
    <mergeCell ref="I15:J15"/>
    <mergeCell ref="K15:L15"/>
    <mergeCell ref="A10:A12"/>
    <mergeCell ref="B10:B12"/>
    <mergeCell ref="C12:D12"/>
    <mergeCell ref="E12:F12"/>
    <mergeCell ref="G12:H12"/>
    <mergeCell ref="I12:J12"/>
    <mergeCell ref="K18:L18"/>
    <mergeCell ref="A19:A21"/>
    <mergeCell ref="B19:B21"/>
    <mergeCell ref="C21:D21"/>
    <mergeCell ref="E21:F21"/>
    <mergeCell ref="G21:H21"/>
    <mergeCell ref="I21:J21"/>
    <mergeCell ref="K21:L21"/>
    <mergeCell ref="A16:A18"/>
    <mergeCell ref="B16:B18"/>
    <mergeCell ref="C18:D18"/>
    <mergeCell ref="E18:F18"/>
    <mergeCell ref="G18:H18"/>
    <mergeCell ref="I18:J18"/>
    <mergeCell ref="A28:L28"/>
    <mergeCell ref="A31:L31"/>
    <mergeCell ref="C32:D32"/>
    <mergeCell ref="E32:F32"/>
    <mergeCell ref="G32:H32"/>
    <mergeCell ref="I32:J32"/>
    <mergeCell ref="K24:L24"/>
    <mergeCell ref="A25:A27"/>
    <mergeCell ref="B25:B27"/>
    <mergeCell ref="C27:D27"/>
    <mergeCell ref="E27:F27"/>
    <mergeCell ref="G27:H27"/>
    <mergeCell ref="I27:J27"/>
    <mergeCell ref="K27:L27"/>
    <mergeCell ref="A22:A24"/>
    <mergeCell ref="B22:B24"/>
    <mergeCell ref="C24:D24"/>
    <mergeCell ref="E24:F24"/>
    <mergeCell ref="G24:H24"/>
    <mergeCell ref="I24:J24"/>
    <mergeCell ref="A33:B33"/>
    <mergeCell ref="C33:D33"/>
    <mergeCell ref="E33:F33"/>
    <mergeCell ref="G33:H33"/>
    <mergeCell ref="I33:J33"/>
    <mergeCell ref="A34:B34"/>
    <mergeCell ref="C34:D34"/>
    <mergeCell ref="E34:F34"/>
    <mergeCell ref="G34:H34"/>
    <mergeCell ref="I34:J34"/>
    <mergeCell ref="K34:L34"/>
    <mergeCell ref="A35:B36"/>
    <mergeCell ref="C36:D36"/>
    <mergeCell ref="E36:F36"/>
    <mergeCell ref="G36:H36"/>
    <mergeCell ref="A37:B37"/>
    <mergeCell ref="C37:D37"/>
    <mergeCell ref="E37:F37"/>
    <mergeCell ref="G37:H37"/>
    <mergeCell ref="I37:J37"/>
    <mergeCell ref="K41:L41"/>
    <mergeCell ref="K39:L39"/>
    <mergeCell ref="A40:B40"/>
    <mergeCell ref="E40:F40"/>
    <mergeCell ref="G40:H40"/>
    <mergeCell ref="I40:J40"/>
    <mergeCell ref="K40:L40"/>
    <mergeCell ref="A38:J38"/>
    <mergeCell ref="A39:B39"/>
    <mergeCell ref="C39:D39"/>
    <mergeCell ref="E39:F39"/>
    <mergeCell ref="G39:H39"/>
    <mergeCell ref="I39:J39"/>
    <mergeCell ref="A45:B47"/>
    <mergeCell ref="A42:B42"/>
    <mergeCell ref="C42:D42"/>
    <mergeCell ref="E42:F42"/>
    <mergeCell ref="G42:H42"/>
    <mergeCell ref="I42:J42"/>
    <mergeCell ref="A43:B44"/>
    <mergeCell ref="A41:B41"/>
    <mergeCell ref="C41:D41"/>
    <mergeCell ref="E41:F41"/>
    <mergeCell ref="G41:H41"/>
    <mergeCell ref="I41:J41"/>
  </mergeCells>
  <pageMargins left="0.7" right="0.7" top="0.75" bottom="0.75" header="0.3" footer="0.3"/>
  <drawing r:id="rId1"/>
  <legacyDrawing r:id="rId2"/>
  <controls>
    <mc:AlternateContent xmlns:mc="http://schemas.openxmlformats.org/markup-compatibility/2006">
      <mc:Choice Requires="x14">
        <control shapeId="12294" r:id="rId3" name="ScrollBar1">
          <controlPr defaultSize="0" autoLine="0" r:id="rId4">
            <anchor moveWithCells="1">
              <from>
                <xdr:col>2</xdr:col>
                <xdr:colOff>19050</xdr:colOff>
                <xdr:row>10</xdr:row>
                <xdr:rowOff>0</xdr:rowOff>
              </from>
              <to>
                <xdr:col>4</xdr:col>
                <xdr:colOff>9525</xdr:colOff>
                <xdr:row>11</xdr:row>
                <xdr:rowOff>0</xdr:rowOff>
              </to>
            </anchor>
          </controlPr>
        </control>
      </mc:Choice>
      <mc:Fallback>
        <control shapeId="12294" r:id="rId3" name="ScrollBar1"/>
      </mc:Fallback>
    </mc:AlternateContent>
    <mc:AlternateContent xmlns:mc="http://schemas.openxmlformats.org/markup-compatibility/2006">
      <mc:Choice Requires="x14">
        <control shapeId="12295" r:id="rId5" name="ScrollBar2">
          <controlPr defaultSize="0" autoLine="0" r:id="rId4">
            <anchor moveWithCells="1">
              <from>
                <xdr:col>4</xdr:col>
                <xdr:colOff>9525</xdr:colOff>
                <xdr:row>10</xdr:row>
                <xdr:rowOff>0</xdr:rowOff>
              </from>
              <to>
                <xdr:col>6</xdr:col>
                <xdr:colOff>0</xdr:colOff>
                <xdr:row>11</xdr:row>
                <xdr:rowOff>0</xdr:rowOff>
              </to>
            </anchor>
          </controlPr>
        </control>
      </mc:Choice>
      <mc:Fallback>
        <control shapeId="12295" r:id="rId5" name="ScrollBar2"/>
      </mc:Fallback>
    </mc:AlternateContent>
    <mc:AlternateContent xmlns:mc="http://schemas.openxmlformats.org/markup-compatibility/2006">
      <mc:Choice Requires="x14">
        <control shapeId="12296" r:id="rId6" name="ScrollBar3">
          <controlPr defaultSize="0" autoLine="0" r:id="rId4">
            <anchor moveWithCells="1">
              <from>
                <xdr:col>6</xdr:col>
                <xdr:colOff>9525</xdr:colOff>
                <xdr:row>10</xdr:row>
                <xdr:rowOff>0</xdr:rowOff>
              </from>
              <to>
                <xdr:col>8</xdr:col>
                <xdr:colOff>0</xdr:colOff>
                <xdr:row>11</xdr:row>
                <xdr:rowOff>0</xdr:rowOff>
              </to>
            </anchor>
          </controlPr>
        </control>
      </mc:Choice>
      <mc:Fallback>
        <control shapeId="12296" r:id="rId6" name="ScrollBar3"/>
      </mc:Fallback>
    </mc:AlternateContent>
    <mc:AlternateContent xmlns:mc="http://schemas.openxmlformats.org/markup-compatibility/2006">
      <mc:Choice Requires="x14">
        <control shapeId="12297" r:id="rId7" name="ScrollBar4">
          <controlPr defaultSize="0" autoLine="0" r:id="rId4">
            <anchor moveWithCells="1">
              <from>
                <xdr:col>8</xdr:col>
                <xdr:colOff>9525</xdr:colOff>
                <xdr:row>10</xdr:row>
                <xdr:rowOff>0</xdr:rowOff>
              </from>
              <to>
                <xdr:col>10</xdr:col>
                <xdr:colOff>0</xdr:colOff>
                <xdr:row>11</xdr:row>
                <xdr:rowOff>0</xdr:rowOff>
              </to>
            </anchor>
          </controlPr>
        </control>
      </mc:Choice>
      <mc:Fallback>
        <control shapeId="12297" r:id="rId7" name="ScrollBar4"/>
      </mc:Fallback>
    </mc:AlternateContent>
    <mc:AlternateContent xmlns:mc="http://schemas.openxmlformats.org/markup-compatibility/2006">
      <mc:Choice Requires="x14">
        <control shapeId="12298" r:id="rId8" name="ScrollBar5">
          <controlPr defaultSize="0" autoLine="0" r:id="rId4">
            <anchor moveWithCells="1">
              <from>
                <xdr:col>10</xdr:col>
                <xdr:colOff>9525</xdr:colOff>
                <xdr:row>10</xdr:row>
                <xdr:rowOff>0</xdr:rowOff>
              </from>
              <to>
                <xdr:col>12</xdr:col>
                <xdr:colOff>0</xdr:colOff>
                <xdr:row>11</xdr:row>
                <xdr:rowOff>0</xdr:rowOff>
              </to>
            </anchor>
          </controlPr>
        </control>
      </mc:Choice>
      <mc:Fallback>
        <control shapeId="12298" r:id="rId8" name="ScrollBar5"/>
      </mc:Fallback>
    </mc:AlternateContent>
    <mc:AlternateContent xmlns:mc="http://schemas.openxmlformats.org/markup-compatibility/2006">
      <mc:Choice Requires="x14">
        <control shapeId="12299" r:id="rId9" name="ScrollBar6">
          <controlPr defaultSize="0" autoLine="0" r:id="rId4">
            <anchor moveWithCells="1">
              <from>
                <xdr:col>2</xdr:col>
                <xdr:colOff>9525</xdr:colOff>
                <xdr:row>13</xdr:row>
                <xdr:rowOff>0</xdr:rowOff>
              </from>
              <to>
                <xdr:col>4</xdr:col>
                <xdr:colOff>0</xdr:colOff>
                <xdr:row>14</xdr:row>
                <xdr:rowOff>0</xdr:rowOff>
              </to>
            </anchor>
          </controlPr>
        </control>
      </mc:Choice>
      <mc:Fallback>
        <control shapeId="12299" r:id="rId9" name="ScrollBar6"/>
      </mc:Fallback>
    </mc:AlternateContent>
    <mc:AlternateContent xmlns:mc="http://schemas.openxmlformats.org/markup-compatibility/2006">
      <mc:Choice Requires="x14">
        <control shapeId="12300" r:id="rId10" name="ScrollBar7">
          <controlPr defaultSize="0" autoLine="0" r:id="rId4">
            <anchor moveWithCells="1">
              <from>
                <xdr:col>4</xdr:col>
                <xdr:colOff>0</xdr:colOff>
                <xdr:row>13</xdr:row>
                <xdr:rowOff>0</xdr:rowOff>
              </from>
              <to>
                <xdr:col>5</xdr:col>
                <xdr:colOff>1476375</xdr:colOff>
                <xdr:row>14</xdr:row>
                <xdr:rowOff>0</xdr:rowOff>
              </to>
            </anchor>
          </controlPr>
        </control>
      </mc:Choice>
      <mc:Fallback>
        <control shapeId="12300" r:id="rId10" name="ScrollBar7"/>
      </mc:Fallback>
    </mc:AlternateContent>
    <mc:AlternateContent xmlns:mc="http://schemas.openxmlformats.org/markup-compatibility/2006">
      <mc:Choice Requires="x14">
        <control shapeId="12301" r:id="rId11" name="ScrollBar8">
          <controlPr defaultSize="0" autoLine="0" r:id="rId4">
            <anchor moveWithCells="1">
              <from>
                <xdr:col>6</xdr:col>
                <xdr:colOff>0</xdr:colOff>
                <xdr:row>13</xdr:row>
                <xdr:rowOff>0</xdr:rowOff>
              </from>
              <to>
                <xdr:col>7</xdr:col>
                <xdr:colOff>1476375</xdr:colOff>
                <xdr:row>14</xdr:row>
                <xdr:rowOff>0</xdr:rowOff>
              </to>
            </anchor>
          </controlPr>
        </control>
      </mc:Choice>
      <mc:Fallback>
        <control shapeId="12301" r:id="rId11" name="ScrollBar8"/>
      </mc:Fallback>
    </mc:AlternateContent>
    <mc:AlternateContent xmlns:mc="http://schemas.openxmlformats.org/markup-compatibility/2006">
      <mc:Choice Requires="x14">
        <control shapeId="12302" r:id="rId12" name="ScrollBar9">
          <controlPr defaultSize="0" autoLine="0" r:id="rId4">
            <anchor moveWithCells="1">
              <from>
                <xdr:col>8</xdr:col>
                <xdr:colOff>0</xdr:colOff>
                <xdr:row>13</xdr:row>
                <xdr:rowOff>0</xdr:rowOff>
              </from>
              <to>
                <xdr:col>9</xdr:col>
                <xdr:colOff>1476375</xdr:colOff>
                <xdr:row>14</xdr:row>
                <xdr:rowOff>0</xdr:rowOff>
              </to>
            </anchor>
          </controlPr>
        </control>
      </mc:Choice>
      <mc:Fallback>
        <control shapeId="12302" r:id="rId12" name="ScrollBar9"/>
      </mc:Fallback>
    </mc:AlternateContent>
    <mc:AlternateContent xmlns:mc="http://schemas.openxmlformats.org/markup-compatibility/2006">
      <mc:Choice Requires="x14">
        <control shapeId="12303" r:id="rId13" name="ScrollBar10">
          <controlPr defaultSize="0" autoLine="0" r:id="rId4">
            <anchor moveWithCells="1">
              <from>
                <xdr:col>10</xdr:col>
                <xdr:colOff>0</xdr:colOff>
                <xdr:row>13</xdr:row>
                <xdr:rowOff>0</xdr:rowOff>
              </from>
              <to>
                <xdr:col>11</xdr:col>
                <xdr:colOff>1476375</xdr:colOff>
                <xdr:row>14</xdr:row>
                <xdr:rowOff>0</xdr:rowOff>
              </to>
            </anchor>
          </controlPr>
        </control>
      </mc:Choice>
      <mc:Fallback>
        <control shapeId="12303" r:id="rId13" name="ScrollBar10"/>
      </mc:Fallback>
    </mc:AlternateContent>
    <mc:AlternateContent xmlns:mc="http://schemas.openxmlformats.org/markup-compatibility/2006">
      <mc:Choice Requires="x14">
        <control shapeId="12304" r:id="rId14" name="ScrollBar11">
          <controlPr defaultSize="0" autoLine="0" r:id="rId4">
            <anchor moveWithCells="1">
              <from>
                <xdr:col>2</xdr:col>
                <xdr:colOff>9525</xdr:colOff>
                <xdr:row>16</xdr:row>
                <xdr:rowOff>0</xdr:rowOff>
              </from>
              <to>
                <xdr:col>4</xdr:col>
                <xdr:colOff>0</xdr:colOff>
                <xdr:row>17</xdr:row>
                <xdr:rowOff>0</xdr:rowOff>
              </to>
            </anchor>
          </controlPr>
        </control>
      </mc:Choice>
      <mc:Fallback>
        <control shapeId="12304" r:id="rId14" name="ScrollBar11"/>
      </mc:Fallback>
    </mc:AlternateContent>
    <mc:AlternateContent xmlns:mc="http://schemas.openxmlformats.org/markup-compatibility/2006">
      <mc:Choice Requires="x14">
        <control shapeId="12305" r:id="rId15" name="ScrollBar12">
          <controlPr defaultSize="0" autoLine="0" r:id="rId4">
            <anchor moveWithCells="1">
              <from>
                <xdr:col>4</xdr:col>
                <xdr:colOff>0</xdr:colOff>
                <xdr:row>16</xdr:row>
                <xdr:rowOff>0</xdr:rowOff>
              </from>
              <to>
                <xdr:col>5</xdr:col>
                <xdr:colOff>1476375</xdr:colOff>
                <xdr:row>17</xdr:row>
                <xdr:rowOff>0</xdr:rowOff>
              </to>
            </anchor>
          </controlPr>
        </control>
      </mc:Choice>
      <mc:Fallback>
        <control shapeId="12305" r:id="rId15" name="ScrollBar12"/>
      </mc:Fallback>
    </mc:AlternateContent>
    <mc:AlternateContent xmlns:mc="http://schemas.openxmlformats.org/markup-compatibility/2006">
      <mc:Choice Requires="x14">
        <control shapeId="12306" r:id="rId16" name="ScrollBar13">
          <controlPr defaultSize="0" autoLine="0" r:id="rId4">
            <anchor moveWithCells="1">
              <from>
                <xdr:col>6</xdr:col>
                <xdr:colOff>0</xdr:colOff>
                <xdr:row>16</xdr:row>
                <xdr:rowOff>0</xdr:rowOff>
              </from>
              <to>
                <xdr:col>7</xdr:col>
                <xdr:colOff>1476375</xdr:colOff>
                <xdr:row>17</xdr:row>
                <xdr:rowOff>0</xdr:rowOff>
              </to>
            </anchor>
          </controlPr>
        </control>
      </mc:Choice>
      <mc:Fallback>
        <control shapeId="12306" r:id="rId16" name="ScrollBar13"/>
      </mc:Fallback>
    </mc:AlternateContent>
    <mc:AlternateContent xmlns:mc="http://schemas.openxmlformats.org/markup-compatibility/2006">
      <mc:Choice Requires="x14">
        <control shapeId="12307" r:id="rId17" name="ScrollBar14">
          <controlPr defaultSize="0" autoLine="0" r:id="rId4">
            <anchor moveWithCells="1">
              <from>
                <xdr:col>8</xdr:col>
                <xdr:colOff>0</xdr:colOff>
                <xdr:row>16</xdr:row>
                <xdr:rowOff>0</xdr:rowOff>
              </from>
              <to>
                <xdr:col>9</xdr:col>
                <xdr:colOff>1476375</xdr:colOff>
                <xdr:row>17</xdr:row>
                <xdr:rowOff>0</xdr:rowOff>
              </to>
            </anchor>
          </controlPr>
        </control>
      </mc:Choice>
      <mc:Fallback>
        <control shapeId="12307" r:id="rId17" name="ScrollBar14"/>
      </mc:Fallback>
    </mc:AlternateContent>
    <mc:AlternateContent xmlns:mc="http://schemas.openxmlformats.org/markup-compatibility/2006">
      <mc:Choice Requires="x14">
        <control shapeId="12308" r:id="rId18" name="ScrollBar15">
          <controlPr defaultSize="0" autoLine="0" r:id="rId4">
            <anchor moveWithCells="1">
              <from>
                <xdr:col>10</xdr:col>
                <xdr:colOff>0</xdr:colOff>
                <xdr:row>16</xdr:row>
                <xdr:rowOff>0</xdr:rowOff>
              </from>
              <to>
                <xdr:col>11</xdr:col>
                <xdr:colOff>1476375</xdr:colOff>
                <xdr:row>17</xdr:row>
                <xdr:rowOff>0</xdr:rowOff>
              </to>
            </anchor>
          </controlPr>
        </control>
      </mc:Choice>
      <mc:Fallback>
        <control shapeId="12308" r:id="rId18" name="ScrollBar15"/>
      </mc:Fallback>
    </mc:AlternateContent>
    <mc:AlternateContent xmlns:mc="http://schemas.openxmlformats.org/markup-compatibility/2006">
      <mc:Choice Requires="x14">
        <control shapeId="12309" r:id="rId19" name="ScrollBar16">
          <controlPr defaultSize="0" autoLine="0" r:id="rId4">
            <anchor moveWithCells="1">
              <from>
                <xdr:col>2</xdr:col>
                <xdr:colOff>9525</xdr:colOff>
                <xdr:row>19</xdr:row>
                <xdr:rowOff>0</xdr:rowOff>
              </from>
              <to>
                <xdr:col>4</xdr:col>
                <xdr:colOff>0</xdr:colOff>
                <xdr:row>20</xdr:row>
                <xdr:rowOff>0</xdr:rowOff>
              </to>
            </anchor>
          </controlPr>
        </control>
      </mc:Choice>
      <mc:Fallback>
        <control shapeId="12309" r:id="rId19" name="ScrollBar16"/>
      </mc:Fallback>
    </mc:AlternateContent>
    <mc:AlternateContent xmlns:mc="http://schemas.openxmlformats.org/markup-compatibility/2006">
      <mc:Choice Requires="x14">
        <control shapeId="12310" r:id="rId20" name="ScrollBar17">
          <controlPr defaultSize="0" autoLine="0" r:id="rId4">
            <anchor moveWithCells="1">
              <from>
                <xdr:col>4</xdr:col>
                <xdr:colOff>0</xdr:colOff>
                <xdr:row>19</xdr:row>
                <xdr:rowOff>0</xdr:rowOff>
              </from>
              <to>
                <xdr:col>5</xdr:col>
                <xdr:colOff>1476375</xdr:colOff>
                <xdr:row>20</xdr:row>
                <xdr:rowOff>0</xdr:rowOff>
              </to>
            </anchor>
          </controlPr>
        </control>
      </mc:Choice>
      <mc:Fallback>
        <control shapeId="12310" r:id="rId20" name="ScrollBar17"/>
      </mc:Fallback>
    </mc:AlternateContent>
    <mc:AlternateContent xmlns:mc="http://schemas.openxmlformats.org/markup-compatibility/2006">
      <mc:Choice Requires="x14">
        <control shapeId="12311" r:id="rId21" name="ScrollBar18">
          <controlPr defaultSize="0" autoLine="0" r:id="rId4">
            <anchor moveWithCells="1">
              <from>
                <xdr:col>6</xdr:col>
                <xdr:colOff>0</xdr:colOff>
                <xdr:row>19</xdr:row>
                <xdr:rowOff>0</xdr:rowOff>
              </from>
              <to>
                <xdr:col>7</xdr:col>
                <xdr:colOff>1476375</xdr:colOff>
                <xdr:row>20</xdr:row>
                <xdr:rowOff>0</xdr:rowOff>
              </to>
            </anchor>
          </controlPr>
        </control>
      </mc:Choice>
      <mc:Fallback>
        <control shapeId="12311" r:id="rId21" name="ScrollBar18"/>
      </mc:Fallback>
    </mc:AlternateContent>
    <mc:AlternateContent xmlns:mc="http://schemas.openxmlformats.org/markup-compatibility/2006">
      <mc:Choice Requires="x14">
        <control shapeId="12312" r:id="rId22" name="ScrollBar19">
          <controlPr defaultSize="0" autoLine="0" r:id="rId4">
            <anchor moveWithCells="1">
              <from>
                <xdr:col>8</xdr:col>
                <xdr:colOff>0</xdr:colOff>
                <xdr:row>19</xdr:row>
                <xdr:rowOff>0</xdr:rowOff>
              </from>
              <to>
                <xdr:col>9</xdr:col>
                <xdr:colOff>1476375</xdr:colOff>
                <xdr:row>20</xdr:row>
                <xdr:rowOff>0</xdr:rowOff>
              </to>
            </anchor>
          </controlPr>
        </control>
      </mc:Choice>
      <mc:Fallback>
        <control shapeId="12312" r:id="rId22" name="ScrollBar19"/>
      </mc:Fallback>
    </mc:AlternateContent>
    <mc:AlternateContent xmlns:mc="http://schemas.openxmlformats.org/markup-compatibility/2006">
      <mc:Choice Requires="x14">
        <control shapeId="12313" r:id="rId23" name="ScrollBar20">
          <controlPr defaultSize="0" autoLine="0" r:id="rId4">
            <anchor moveWithCells="1">
              <from>
                <xdr:col>10</xdr:col>
                <xdr:colOff>0</xdr:colOff>
                <xdr:row>19</xdr:row>
                <xdr:rowOff>0</xdr:rowOff>
              </from>
              <to>
                <xdr:col>11</xdr:col>
                <xdr:colOff>1476375</xdr:colOff>
                <xdr:row>20</xdr:row>
                <xdr:rowOff>0</xdr:rowOff>
              </to>
            </anchor>
          </controlPr>
        </control>
      </mc:Choice>
      <mc:Fallback>
        <control shapeId="12313" r:id="rId23" name="ScrollBar20"/>
      </mc:Fallback>
    </mc:AlternateContent>
    <mc:AlternateContent xmlns:mc="http://schemas.openxmlformats.org/markup-compatibility/2006">
      <mc:Choice Requires="x14">
        <control shapeId="12314" r:id="rId24" name="ScrollBar21">
          <controlPr defaultSize="0" autoLine="0" r:id="rId4">
            <anchor moveWithCells="1">
              <from>
                <xdr:col>2</xdr:col>
                <xdr:colOff>9525</xdr:colOff>
                <xdr:row>22</xdr:row>
                <xdr:rowOff>9525</xdr:rowOff>
              </from>
              <to>
                <xdr:col>4</xdr:col>
                <xdr:colOff>0</xdr:colOff>
                <xdr:row>23</xdr:row>
                <xdr:rowOff>9525</xdr:rowOff>
              </to>
            </anchor>
          </controlPr>
        </control>
      </mc:Choice>
      <mc:Fallback>
        <control shapeId="12314" r:id="rId24" name="ScrollBar21"/>
      </mc:Fallback>
    </mc:AlternateContent>
    <mc:AlternateContent xmlns:mc="http://schemas.openxmlformats.org/markup-compatibility/2006">
      <mc:Choice Requires="x14">
        <control shapeId="12315" r:id="rId25" name="ScrollBar22">
          <controlPr defaultSize="0" autoLine="0" r:id="rId4">
            <anchor moveWithCells="1">
              <from>
                <xdr:col>4</xdr:col>
                <xdr:colOff>0</xdr:colOff>
                <xdr:row>22</xdr:row>
                <xdr:rowOff>9525</xdr:rowOff>
              </from>
              <to>
                <xdr:col>5</xdr:col>
                <xdr:colOff>1476375</xdr:colOff>
                <xdr:row>23</xdr:row>
                <xdr:rowOff>9525</xdr:rowOff>
              </to>
            </anchor>
          </controlPr>
        </control>
      </mc:Choice>
      <mc:Fallback>
        <control shapeId="12315" r:id="rId25" name="ScrollBar22"/>
      </mc:Fallback>
    </mc:AlternateContent>
    <mc:AlternateContent xmlns:mc="http://schemas.openxmlformats.org/markup-compatibility/2006">
      <mc:Choice Requires="x14">
        <control shapeId="12316" r:id="rId26" name="ScrollBar23">
          <controlPr defaultSize="0" autoLine="0" r:id="rId4">
            <anchor moveWithCells="1">
              <from>
                <xdr:col>6</xdr:col>
                <xdr:colOff>0</xdr:colOff>
                <xdr:row>22</xdr:row>
                <xdr:rowOff>9525</xdr:rowOff>
              </from>
              <to>
                <xdr:col>7</xdr:col>
                <xdr:colOff>1476375</xdr:colOff>
                <xdr:row>23</xdr:row>
                <xdr:rowOff>9525</xdr:rowOff>
              </to>
            </anchor>
          </controlPr>
        </control>
      </mc:Choice>
      <mc:Fallback>
        <control shapeId="12316" r:id="rId26" name="ScrollBar23"/>
      </mc:Fallback>
    </mc:AlternateContent>
    <mc:AlternateContent xmlns:mc="http://schemas.openxmlformats.org/markup-compatibility/2006">
      <mc:Choice Requires="x14">
        <control shapeId="12317" r:id="rId27" name="ScrollBar24">
          <controlPr defaultSize="0" autoLine="0" r:id="rId4">
            <anchor moveWithCells="1">
              <from>
                <xdr:col>8</xdr:col>
                <xdr:colOff>0</xdr:colOff>
                <xdr:row>22</xdr:row>
                <xdr:rowOff>9525</xdr:rowOff>
              </from>
              <to>
                <xdr:col>9</xdr:col>
                <xdr:colOff>1476375</xdr:colOff>
                <xdr:row>23</xdr:row>
                <xdr:rowOff>9525</xdr:rowOff>
              </to>
            </anchor>
          </controlPr>
        </control>
      </mc:Choice>
      <mc:Fallback>
        <control shapeId="12317" r:id="rId27" name="ScrollBar24"/>
      </mc:Fallback>
    </mc:AlternateContent>
    <mc:AlternateContent xmlns:mc="http://schemas.openxmlformats.org/markup-compatibility/2006">
      <mc:Choice Requires="x14">
        <control shapeId="12318" r:id="rId28" name="ScrollBar25">
          <controlPr defaultSize="0" autoLine="0" r:id="rId4">
            <anchor moveWithCells="1">
              <from>
                <xdr:col>10</xdr:col>
                <xdr:colOff>0</xdr:colOff>
                <xdr:row>22</xdr:row>
                <xdr:rowOff>9525</xdr:rowOff>
              </from>
              <to>
                <xdr:col>11</xdr:col>
                <xdr:colOff>1476375</xdr:colOff>
                <xdr:row>23</xdr:row>
                <xdr:rowOff>9525</xdr:rowOff>
              </to>
            </anchor>
          </controlPr>
        </control>
      </mc:Choice>
      <mc:Fallback>
        <control shapeId="12318" r:id="rId28" name="ScrollBar25"/>
      </mc:Fallback>
    </mc:AlternateContent>
    <mc:AlternateContent xmlns:mc="http://schemas.openxmlformats.org/markup-compatibility/2006">
      <mc:Choice Requires="x14">
        <control shapeId="12319" r:id="rId29" name="ScrollBar26">
          <controlPr defaultSize="0" autoLine="0" r:id="rId4">
            <anchor moveWithCells="1">
              <from>
                <xdr:col>2</xdr:col>
                <xdr:colOff>9525</xdr:colOff>
                <xdr:row>25</xdr:row>
                <xdr:rowOff>0</xdr:rowOff>
              </from>
              <to>
                <xdr:col>4</xdr:col>
                <xdr:colOff>0</xdr:colOff>
                <xdr:row>26</xdr:row>
                <xdr:rowOff>0</xdr:rowOff>
              </to>
            </anchor>
          </controlPr>
        </control>
      </mc:Choice>
      <mc:Fallback>
        <control shapeId="12319" r:id="rId29" name="ScrollBar26"/>
      </mc:Fallback>
    </mc:AlternateContent>
    <mc:AlternateContent xmlns:mc="http://schemas.openxmlformats.org/markup-compatibility/2006">
      <mc:Choice Requires="x14">
        <control shapeId="12320" r:id="rId30" name="ScrollBar27">
          <controlPr defaultSize="0" autoLine="0" r:id="rId4">
            <anchor moveWithCells="1">
              <from>
                <xdr:col>4</xdr:col>
                <xdr:colOff>0</xdr:colOff>
                <xdr:row>25</xdr:row>
                <xdr:rowOff>0</xdr:rowOff>
              </from>
              <to>
                <xdr:col>5</xdr:col>
                <xdr:colOff>1476375</xdr:colOff>
                <xdr:row>26</xdr:row>
                <xdr:rowOff>0</xdr:rowOff>
              </to>
            </anchor>
          </controlPr>
        </control>
      </mc:Choice>
      <mc:Fallback>
        <control shapeId="12320" r:id="rId30" name="ScrollBar27"/>
      </mc:Fallback>
    </mc:AlternateContent>
    <mc:AlternateContent xmlns:mc="http://schemas.openxmlformats.org/markup-compatibility/2006">
      <mc:Choice Requires="x14">
        <control shapeId="12321" r:id="rId31" name="ScrollBar28">
          <controlPr defaultSize="0" autoLine="0" r:id="rId4">
            <anchor moveWithCells="1">
              <from>
                <xdr:col>6</xdr:col>
                <xdr:colOff>0</xdr:colOff>
                <xdr:row>25</xdr:row>
                <xdr:rowOff>0</xdr:rowOff>
              </from>
              <to>
                <xdr:col>7</xdr:col>
                <xdr:colOff>1476375</xdr:colOff>
                <xdr:row>26</xdr:row>
                <xdr:rowOff>0</xdr:rowOff>
              </to>
            </anchor>
          </controlPr>
        </control>
      </mc:Choice>
      <mc:Fallback>
        <control shapeId="12321" r:id="rId31" name="ScrollBar28"/>
      </mc:Fallback>
    </mc:AlternateContent>
    <mc:AlternateContent xmlns:mc="http://schemas.openxmlformats.org/markup-compatibility/2006">
      <mc:Choice Requires="x14">
        <control shapeId="12322" r:id="rId32" name="ScrollBar29">
          <controlPr defaultSize="0" autoLine="0" r:id="rId4">
            <anchor moveWithCells="1">
              <from>
                <xdr:col>8</xdr:col>
                <xdr:colOff>0</xdr:colOff>
                <xdr:row>25</xdr:row>
                <xdr:rowOff>0</xdr:rowOff>
              </from>
              <to>
                <xdr:col>9</xdr:col>
                <xdr:colOff>1476375</xdr:colOff>
                <xdr:row>26</xdr:row>
                <xdr:rowOff>0</xdr:rowOff>
              </to>
            </anchor>
          </controlPr>
        </control>
      </mc:Choice>
      <mc:Fallback>
        <control shapeId="12322" r:id="rId32" name="ScrollBar29"/>
      </mc:Fallback>
    </mc:AlternateContent>
    <mc:AlternateContent xmlns:mc="http://schemas.openxmlformats.org/markup-compatibility/2006">
      <mc:Choice Requires="x14">
        <control shapeId="12323" r:id="rId33" name="ScrollBar30">
          <controlPr defaultSize="0" autoLine="0" r:id="rId4">
            <anchor moveWithCells="1">
              <from>
                <xdr:col>10</xdr:col>
                <xdr:colOff>0</xdr:colOff>
                <xdr:row>25</xdr:row>
                <xdr:rowOff>0</xdr:rowOff>
              </from>
              <to>
                <xdr:col>11</xdr:col>
                <xdr:colOff>1476375</xdr:colOff>
                <xdr:row>26</xdr:row>
                <xdr:rowOff>0</xdr:rowOff>
              </to>
            </anchor>
          </controlPr>
        </control>
      </mc:Choice>
      <mc:Fallback>
        <control shapeId="12323" r:id="rId33" name="ScrollBar30"/>
      </mc:Fallback>
    </mc:AlternateContent>
    <mc:AlternateContent xmlns:mc="http://schemas.openxmlformats.org/markup-compatibility/2006">
      <mc:Choice Requires="x14">
        <control shapeId="12324" r:id="rId34" name="ScrollBar31">
          <controlPr defaultSize="0" autoLine="0" r:id="rId4">
            <anchor moveWithCells="1">
              <from>
                <xdr:col>2</xdr:col>
                <xdr:colOff>9525</xdr:colOff>
                <xdr:row>35</xdr:row>
                <xdr:rowOff>0</xdr:rowOff>
              </from>
              <to>
                <xdr:col>4</xdr:col>
                <xdr:colOff>0</xdr:colOff>
                <xdr:row>36</xdr:row>
                <xdr:rowOff>0</xdr:rowOff>
              </to>
            </anchor>
          </controlPr>
        </control>
      </mc:Choice>
      <mc:Fallback>
        <control shapeId="12324" r:id="rId34" name="ScrollBar31"/>
      </mc:Fallback>
    </mc:AlternateContent>
    <mc:AlternateContent xmlns:mc="http://schemas.openxmlformats.org/markup-compatibility/2006">
      <mc:Choice Requires="x14">
        <control shapeId="12325" r:id="rId35" name="ScrollBar32">
          <controlPr defaultSize="0" autoLine="0" r:id="rId4">
            <anchor moveWithCells="1">
              <from>
                <xdr:col>4</xdr:col>
                <xdr:colOff>0</xdr:colOff>
                <xdr:row>35</xdr:row>
                <xdr:rowOff>0</xdr:rowOff>
              </from>
              <to>
                <xdr:col>5</xdr:col>
                <xdr:colOff>1476375</xdr:colOff>
                <xdr:row>36</xdr:row>
                <xdr:rowOff>0</xdr:rowOff>
              </to>
            </anchor>
          </controlPr>
        </control>
      </mc:Choice>
      <mc:Fallback>
        <control shapeId="12325" r:id="rId35" name="ScrollBar32"/>
      </mc:Fallback>
    </mc:AlternateContent>
    <mc:AlternateContent xmlns:mc="http://schemas.openxmlformats.org/markup-compatibility/2006">
      <mc:Choice Requires="x14">
        <control shapeId="12326" r:id="rId36" name="ScrollBar33">
          <controlPr defaultSize="0" autoLine="0" r:id="rId4">
            <anchor moveWithCells="1">
              <from>
                <xdr:col>6</xdr:col>
                <xdr:colOff>0</xdr:colOff>
                <xdr:row>35</xdr:row>
                <xdr:rowOff>0</xdr:rowOff>
              </from>
              <to>
                <xdr:col>7</xdr:col>
                <xdr:colOff>1476375</xdr:colOff>
                <xdr:row>36</xdr:row>
                <xdr:rowOff>0</xdr:rowOff>
              </to>
            </anchor>
          </controlPr>
        </control>
      </mc:Choice>
      <mc:Fallback>
        <control shapeId="12326" r:id="rId36" name="ScrollBar33"/>
      </mc:Fallback>
    </mc:AlternateContent>
    <mc:AlternateContent xmlns:mc="http://schemas.openxmlformats.org/markup-compatibility/2006">
      <mc:Choice Requires="x14">
        <control shapeId="12327" r:id="rId37" name="ScrollBar34">
          <controlPr defaultSize="0" autoLine="0" r:id="rId4">
            <anchor moveWithCells="1">
              <from>
                <xdr:col>8</xdr:col>
                <xdr:colOff>0</xdr:colOff>
                <xdr:row>35</xdr:row>
                <xdr:rowOff>0</xdr:rowOff>
              </from>
              <to>
                <xdr:col>9</xdr:col>
                <xdr:colOff>1476375</xdr:colOff>
                <xdr:row>36</xdr:row>
                <xdr:rowOff>0</xdr:rowOff>
              </to>
            </anchor>
          </controlPr>
        </control>
      </mc:Choice>
      <mc:Fallback>
        <control shapeId="12327" r:id="rId37" name="ScrollBar34"/>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21A35936-850B-4373-9530-7B9D998FFB08}">
          <x14:formula1>
            <xm:f>'Lookups (Keep Hidden)'!$A$1:$A$2</xm:f>
          </x14:formula1>
          <xm:sqref>C34:J34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97241-BD6B-45E1-B3DE-50DC757E8976}">
  <sheetPr codeName="Sheet3"/>
  <dimension ref="M1:X37"/>
  <sheetViews>
    <sheetView topLeftCell="A3" workbookViewId="0">
      <selection activeCell="O2" sqref="O2:O32"/>
    </sheetView>
  </sheetViews>
  <sheetFormatPr defaultRowHeight="15"/>
  <cols>
    <col min="1" max="11" width="9.140625" style="1"/>
    <col min="12" max="12" width="23.7109375" style="1" customWidth="1"/>
    <col min="13" max="13" width="20.85546875" style="1" customWidth="1"/>
    <col min="14" max="14" width="3" style="1" bestFit="1" customWidth="1"/>
    <col min="15" max="15" width="27.7109375" style="1" bestFit="1" customWidth="1"/>
    <col min="16" max="16" width="11.42578125" style="1" bestFit="1" customWidth="1"/>
    <col min="17" max="16384" width="9.140625" style="1"/>
  </cols>
  <sheetData>
    <row r="1" spans="13:24" ht="15.75" thickBot="1">
      <c r="M1" s="11" t="s">
        <v>1</v>
      </c>
      <c r="N1" s="9" t="s">
        <v>63</v>
      </c>
      <c r="O1" s="12" t="s">
        <v>0</v>
      </c>
      <c r="P1" s="13" t="s">
        <v>29</v>
      </c>
      <c r="R1" s="67" t="s">
        <v>171</v>
      </c>
    </row>
    <row r="2" spans="13:24">
      <c r="M2" s="376" t="s">
        <v>2</v>
      </c>
      <c r="N2" s="14">
        <v>1</v>
      </c>
      <c r="O2" s="3" t="s">
        <v>3</v>
      </c>
      <c r="P2" s="30" t="s">
        <v>27</v>
      </c>
      <c r="R2" s="367" t="s">
        <v>428</v>
      </c>
      <c r="S2" s="368"/>
      <c r="T2" s="368"/>
      <c r="U2" s="368"/>
      <c r="V2" s="368"/>
      <c r="W2" s="368"/>
      <c r="X2" s="369"/>
    </row>
    <row r="3" spans="13:24">
      <c r="M3" s="377"/>
      <c r="N3" s="10">
        <v>2</v>
      </c>
      <c r="O3" s="4" t="s">
        <v>5</v>
      </c>
      <c r="P3" s="31" t="s">
        <v>27</v>
      </c>
      <c r="R3" s="370"/>
      <c r="S3" s="371"/>
      <c r="T3" s="371"/>
      <c r="U3" s="371"/>
      <c r="V3" s="371"/>
      <c r="W3" s="371"/>
      <c r="X3" s="372"/>
    </row>
    <row r="4" spans="13:24" ht="15.75" thickBot="1">
      <c r="M4" s="378"/>
      <c r="N4" s="15">
        <v>3</v>
      </c>
      <c r="O4" s="5" t="s">
        <v>4</v>
      </c>
      <c r="P4" s="32" t="s">
        <v>27</v>
      </c>
      <c r="R4" s="370"/>
      <c r="S4" s="371"/>
      <c r="T4" s="371"/>
      <c r="U4" s="371"/>
      <c r="V4" s="371"/>
      <c r="W4" s="371"/>
      <c r="X4" s="372"/>
    </row>
    <row r="5" spans="13:24">
      <c r="M5" s="376" t="s">
        <v>6</v>
      </c>
      <c r="N5" s="14">
        <v>4</v>
      </c>
      <c r="O5" s="3" t="s">
        <v>7</v>
      </c>
      <c r="P5" s="30" t="s">
        <v>27</v>
      </c>
      <c r="R5" s="370"/>
      <c r="S5" s="371"/>
      <c r="T5" s="371"/>
      <c r="U5" s="371"/>
      <c r="V5" s="371"/>
      <c r="W5" s="371"/>
      <c r="X5" s="372"/>
    </row>
    <row r="6" spans="13:24">
      <c r="M6" s="377"/>
      <c r="N6" s="10">
        <v>5</v>
      </c>
      <c r="O6" s="4" t="s">
        <v>8</v>
      </c>
      <c r="P6" s="31" t="s">
        <v>27</v>
      </c>
      <c r="R6" s="370"/>
      <c r="S6" s="371"/>
      <c r="T6" s="371"/>
      <c r="U6" s="371"/>
      <c r="V6" s="371"/>
      <c r="W6" s="371"/>
      <c r="X6" s="372"/>
    </row>
    <row r="7" spans="13:24" ht="15.75" thickBot="1">
      <c r="M7" s="378"/>
      <c r="N7" s="15">
        <v>6</v>
      </c>
      <c r="O7" s="5" t="s">
        <v>9</v>
      </c>
      <c r="P7" s="32" t="s">
        <v>27</v>
      </c>
      <c r="R7" s="370"/>
      <c r="S7" s="371"/>
      <c r="T7" s="371"/>
      <c r="U7" s="371"/>
      <c r="V7" s="371"/>
      <c r="W7" s="371"/>
      <c r="X7" s="372"/>
    </row>
    <row r="8" spans="13:24">
      <c r="M8" s="376" t="s">
        <v>10</v>
      </c>
      <c r="N8" s="14">
        <v>7</v>
      </c>
      <c r="O8" s="3" t="s">
        <v>51</v>
      </c>
      <c r="P8" s="30" t="s">
        <v>27</v>
      </c>
      <c r="R8" s="370"/>
      <c r="S8" s="371"/>
      <c r="T8" s="371"/>
      <c r="U8" s="371"/>
      <c r="V8" s="371"/>
      <c r="W8" s="371"/>
      <c r="X8" s="372"/>
    </row>
    <row r="9" spans="13:24">
      <c r="M9" s="377"/>
      <c r="N9" s="10">
        <v>8</v>
      </c>
      <c r="O9" s="4" t="s">
        <v>52</v>
      </c>
      <c r="P9" s="31" t="s">
        <v>27</v>
      </c>
      <c r="R9" s="370"/>
      <c r="S9" s="371"/>
      <c r="T9" s="371"/>
      <c r="U9" s="371"/>
      <c r="V9" s="371"/>
      <c r="W9" s="371"/>
      <c r="X9" s="372"/>
    </row>
    <row r="10" spans="13:24">
      <c r="M10" s="377"/>
      <c r="N10" s="10">
        <v>9</v>
      </c>
      <c r="O10" s="4" t="s">
        <v>53</v>
      </c>
      <c r="P10" s="31" t="s">
        <v>27</v>
      </c>
      <c r="R10" s="370"/>
      <c r="S10" s="371"/>
      <c r="T10" s="371"/>
      <c r="U10" s="371"/>
      <c r="V10" s="371"/>
      <c r="W10" s="371"/>
      <c r="X10" s="372"/>
    </row>
    <row r="11" spans="13:24" ht="15.75" thickBot="1">
      <c r="M11" s="378"/>
      <c r="N11" s="15">
        <v>10</v>
      </c>
      <c r="O11" s="5" t="s">
        <v>11</v>
      </c>
      <c r="P11" s="32" t="s">
        <v>27</v>
      </c>
      <c r="R11" s="370"/>
      <c r="S11" s="371"/>
      <c r="T11" s="371"/>
      <c r="U11" s="371"/>
      <c r="V11" s="371"/>
      <c r="W11" s="371"/>
      <c r="X11" s="372"/>
    </row>
    <row r="12" spans="13:24" ht="30.75" thickBot="1">
      <c r="M12" s="2" t="s">
        <v>12</v>
      </c>
      <c r="N12" s="16">
        <v>11</v>
      </c>
      <c r="O12" s="6" t="s">
        <v>13</v>
      </c>
      <c r="P12" s="58" t="s">
        <v>27</v>
      </c>
      <c r="R12" s="370"/>
      <c r="S12" s="371"/>
      <c r="T12" s="371"/>
      <c r="U12" s="371"/>
      <c r="V12" s="371"/>
      <c r="W12" s="371"/>
      <c r="X12" s="372"/>
    </row>
    <row r="13" spans="13:24">
      <c r="M13" s="351" t="s">
        <v>14</v>
      </c>
      <c r="N13" s="14">
        <v>12</v>
      </c>
      <c r="O13" s="3" t="s">
        <v>54</v>
      </c>
      <c r="P13" s="30" t="s">
        <v>27</v>
      </c>
      <c r="R13" s="370"/>
      <c r="S13" s="371"/>
      <c r="T13" s="371"/>
      <c r="U13" s="371"/>
      <c r="V13" s="371"/>
      <c r="W13" s="371"/>
      <c r="X13" s="372"/>
    </row>
    <row r="14" spans="13:24" ht="15.75" thickBot="1">
      <c r="M14" s="353"/>
      <c r="N14" s="15">
        <v>13</v>
      </c>
      <c r="O14" s="5" t="s">
        <v>55</v>
      </c>
      <c r="P14" s="32" t="s">
        <v>27</v>
      </c>
      <c r="R14" s="370"/>
      <c r="S14" s="371"/>
      <c r="T14" s="371"/>
      <c r="U14" s="371"/>
      <c r="V14" s="371"/>
      <c r="W14" s="371"/>
      <c r="X14" s="372"/>
    </row>
    <row r="15" spans="13:24">
      <c r="M15" s="351" t="s">
        <v>173</v>
      </c>
      <c r="N15" s="14">
        <v>14</v>
      </c>
      <c r="O15" s="3" t="s">
        <v>15</v>
      </c>
      <c r="P15" s="30" t="s">
        <v>27</v>
      </c>
      <c r="R15" s="370"/>
      <c r="S15" s="371"/>
      <c r="T15" s="371"/>
      <c r="U15" s="371"/>
      <c r="V15" s="371"/>
      <c r="W15" s="371"/>
      <c r="X15" s="372"/>
    </row>
    <row r="16" spans="13:24">
      <c r="M16" s="352"/>
      <c r="N16" s="10">
        <v>15</v>
      </c>
      <c r="O16" s="4" t="s">
        <v>16</v>
      </c>
      <c r="P16" s="31" t="s">
        <v>27</v>
      </c>
      <c r="R16" s="370"/>
      <c r="S16" s="371"/>
      <c r="T16" s="371"/>
      <c r="U16" s="371"/>
      <c r="V16" s="371"/>
      <c r="W16" s="371"/>
      <c r="X16" s="372"/>
    </row>
    <row r="17" spans="13:24">
      <c r="M17" s="352"/>
      <c r="N17" s="10">
        <v>16</v>
      </c>
      <c r="O17" s="4" t="s">
        <v>56</v>
      </c>
      <c r="P17" s="31" t="s">
        <v>27</v>
      </c>
      <c r="R17" s="370"/>
      <c r="S17" s="371"/>
      <c r="T17" s="371"/>
      <c r="U17" s="371"/>
      <c r="V17" s="371"/>
      <c r="W17" s="371"/>
      <c r="X17" s="372"/>
    </row>
    <row r="18" spans="13:24" ht="15.75" thickBot="1">
      <c r="M18" s="353"/>
      <c r="N18" s="15">
        <v>17</v>
      </c>
      <c r="O18" s="5" t="s">
        <v>26</v>
      </c>
      <c r="P18" s="32" t="s">
        <v>27</v>
      </c>
      <c r="R18" s="370"/>
      <c r="S18" s="371"/>
      <c r="T18" s="371"/>
      <c r="U18" s="371"/>
      <c r="V18" s="371"/>
      <c r="W18" s="371"/>
      <c r="X18" s="372"/>
    </row>
    <row r="19" spans="13:24">
      <c r="M19" s="376" t="s">
        <v>17</v>
      </c>
      <c r="N19" s="14">
        <v>18</v>
      </c>
      <c r="O19" s="3" t="s">
        <v>18</v>
      </c>
      <c r="P19" s="30" t="s">
        <v>27</v>
      </c>
      <c r="R19" s="370"/>
      <c r="S19" s="371"/>
      <c r="T19" s="371"/>
      <c r="U19" s="371"/>
      <c r="V19" s="371"/>
      <c r="W19" s="371"/>
      <c r="X19" s="372"/>
    </row>
    <row r="20" spans="13:24">
      <c r="M20" s="377"/>
      <c r="N20" s="10">
        <v>19</v>
      </c>
      <c r="O20" s="4" t="s">
        <v>19</v>
      </c>
      <c r="P20" s="31" t="s">
        <v>27</v>
      </c>
      <c r="R20" s="370"/>
      <c r="S20" s="371"/>
      <c r="T20" s="371"/>
      <c r="U20" s="371"/>
      <c r="V20" s="371"/>
      <c r="W20" s="371"/>
      <c r="X20" s="372"/>
    </row>
    <row r="21" spans="13:24">
      <c r="M21" s="377"/>
      <c r="N21" s="10">
        <v>20</v>
      </c>
      <c r="O21" s="4" t="s">
        <v>20</v>
      </c>
      <c r="P21" s="31" t="s">
        <v>27</v>
      </c>
      <c r="R21" s="370"/>
      <c r="S21" s="371"/>
      <c r="T21" s="371"/>
      <c r="U21" s="371"/>
      <c r="V21" s="371"/>
      <c r="W21" s="371"/>
      <c r="X21" s="372"/>
    </row>
    <row r="22" spans="13:24">
      <c r="M22" s="379"/>
      <c r="N22" s="10">
        <v>21</v>
      </c>
      <c r="O22" s="7" t="s">
        <v>21</v>
      </c>
      <c r="P22" s="33" t="s">
        <v>27</v>
      </c>
      <c r="R22" s="370"/>
      <c r="S22" s="371"/>
      <c r="T22" s="371"/>
      <c r="U22" s="371"/>
      <c r="V22" s="371"/>
      <c r="W22" s="371"/>
      <c r="X22" s="372"/>
    </row>
    <row r="23" spans="13:24" ht="15.75" thickBot="1">
      <c r="M23" s="378"/>
      <c r="N23" s="15">
        <v>22</v>
      </c>
      <c r="O23" s="5" t="s">
        <v>50</v>
      </c>
      <c r="P23" s="32" t="s">
        <v>27</v>
      </c>
      <c r="R23" s="370"/>
      <c r="S23" s="371"/>
      <c r="T23" s="371"/>
      <c r="U23" s="371"/>
      <c r="V23" s="371"/>
      <c r="W23" s="371"/>
      <c r="X23" s="372"/>
    </row>
    <row r="24" spans="13:24">
      <c r="M24" s="376" t="s">
        <v>22</v>
      </c>
      <c r="N24" s="14">
        <v>23</v>
      </c>
      <c r="O24" s="3" t="s">
        <v>25</v>
      </c>
      <c r="P24" s="30" t="s">
        <v>27</v>
      </c>
      <c r="R24" s="370"/>
      <c r="S24" s="371"/>
      <c r="T24" s="371"/>
      <c r="U24" s="371"/>
      <c r="V24" s="371"/>
      <c r="W24" s="371"/>
      <c r="X24" s="372"/>
    </row>
    <row r="25" spans="13:24">
      <c r="M25" s="377"/>
      <c r="N25" s="10">
        <v>24</v>
      </c>
      <c r="O25" s="4" t="s">
        <v>23</v>
      </c>
      <c r="P25" s="31" t="s">
        <v>27</v>
      </c>
      <c r="R25" s="370"/>
      <c r="S25" s="371"/>
      <c r="T25" s="371"/>
      <c r="U25" s="371"/>
      <c r="V25" s="371"/>
      <c r="W25" s="371"/>
      <c r="X25" s="372"/>
    </row>
    <row r="26" spans="13:24">
      <c r="M26" s="377"/>
      <c r="N26" s="10">
        <v>25</v>
      </c>
      <c r="O26" s="4" t="s">
        <v>57</v>
      </c>
      <c r="P26" s="31" t="s">
        <v>27</v>
      </c>
      <c r="R26" s="370"/>
      <c r="S26" s="371"/>
      <c r="T26" s="371"/>
      <c r="U26" s="371"/>
      <c r="V26" s="371"/>
      <c r="W26" s="371"/>
      <c r="X26" s="372"/>
    </row>
    <row r="27" spans="13:24">
      <c r="M27" s="377"/>
      <c r="N27" s="10">
        <v>26</v>
      </c>
      <c r="O27" s="4" t="s">
        <v>59</v>
      </c>
      <c r="P27" s="31" t="s">
        <v>27</v>
      </c>
      <c r="R27" s="370"/>
      <c r="S27" s="371"/>
      <c r="T27" s="371"/>
      <c r="U27" s="371"/>
      <c r="V27" s="371"/>
      <c r="W27" s="371"/>
      <c r="X27" s="372"/>
    </row>
    <row r="28" spans="13:24">
      <c r="M28" s="377"/>
      <c r="N28" s="10">
        <v>27</v>
      </c>
      <c r="O28" s="4" t="s">
        <v>58</v>
      </c>
      <c r="P28" s="31" t="s">
        <v>27</v>
      </c>
      <c r="R28" s="370"/>
      <c r="S28" s="371"/>
      <c r="T28" s="371"/>
      <c r="U28" s="371"/>
      <c r="V28" s="371"/>
      <c r="W28" s="371"/>
      <c r="X28" s="372"/>
    </row>
    <row r="29" spans="13:24">
      <c r="M29" s="377"/>
      <c r="N29" s="10">
        <v>28</v>
      </c>
      <c r="O29" s="4" t="s">
        <v>60</v>
      </c>
      <c r="P29" s="31" t="s">
        <v>27</v>
      </c>
      <c r="R29" s="370"/>
      <c r="S29" s="371"/>
      <c r="T29" s="371"/>
      <c r="U29" s="371"/>
      <c r="V29" s="371"/>
      <c r="W29" s="371"/>
      <c r="X29" s="372"/>
    </row>
    <row r="30" spans="13:24">
      <c r="M30" s="377"/>
      <c r="N30" s="10">
        <v>29</v>
      </c>
      <c r="O30" s="4" t="s">
        <v>61</v>
      </c>
      <c r="P30" s="31" t="s">
        <v>27</v>
      </c>
      <c r="R30" s="370"/>
      <c r="S30" s="371"/>
      <c r="T30" s="371"/>
      <c r="U30" s="371"/>
      <c r="V30" s="371"/>
      <c r="W30" s="371"/>
      <c r="X30" s="372"/>
    </row>
    <row r="31" spans="13:24">
      <c r="M31" s="379"/>
      <c r="N31" s="10">
        <v>30</v>
      </c>
      <c r="O31" s="7" t="s">
        <v>24</v>
      </c>
      <c r="P31" s="33" t="s">
        <v>27</v>
      </c>
      <c r="R31" s="370"/>
      <c r="S31" s="371"/>
      <c r="T31" s="371"/>
      <c r="U31" s="371"/>
      <c r="V31" s="371"/>
      <c r="W31" s="371"/>
      <c r="X31" s="372"/>
    </row>
    <row r="32" spans="13:24" ht="15.75" thickBot="1">
      <c r="M32" s="378"/>
      <c r="N32" s="15">
        <v>31</v>
      </c>
      <c r="O32" s="5" t="s">
        <v>62</v>
      </c>
      <c r="P32" s="32" t="s">
        <v>27</v>
      </c>
      <c r="R32" s="373"/>
      <c r="S32" s="374"/>
      <c r="T32" s="374"/>
      <c r="U32" s="374"/>
      <c r="V32" s="374"/>
      <c r="W32" s="374"/>
      <c r="X32" s="375"/>
    </row>
    <row r="33" spans="13:17">
      <c r="M33" s="351" t="s">
        <v>358</v>
      </c>
      <c r="N33" s="14">
        <v>32</v>
      </c>
      <c r="O33" s="3" t="s">
        <v>359</v>
      </c>
      <c r="P33" s="30" t="s">
        <v>27</v>
      </c>
    </row>
    <row r="34" spans="13:17">
      <c r="M34" s="352"/>
      <c r="N34" s="10">
        <v>33</v>
      </c>
      <c r="O34" s="4" t="s">
        <v>360</v>
      </c>
      <c r="P34" s="31" t="s">
        <v>27</v>
      </c>
    </row>
    <row r="35" spans="13:17">
      <c r="M35" s="352"/>
      <c r="N35" s="10">
        <v>34</v>
      </c>
      <c r="O35" s="4" t="s">
        <v>361</v>
      </c>
      <c r="P35" s="31" t="s">
        <v>27</v>
      </c>
    </row>
    <row r="36" spans="13:17" ht="15.75" thickBot="1">
      <c r="M36" s="353"/>
      <c r="N36" s="15">
        <v>35</v>
      </c>
      <c r="O36" s="5" t="s">
        <v>362</v>
      </c>
      <c r="P36" s="32" t="s">
        <v>27</v>
      </c>
    </row>
    <row r="37" spans="13:17">
      <c r="Q37" s="165"/>
    </row>
  </sheetData>
  <mergeCells count="9">
    <mergeCell ref="M33:M36"/>
    <mergeCell ref="R2:X32"/>
    <mergeCell ref="M2:M4"/>
    <mergeCell ref="M5:M7"/>
    <mergeCell ref="M8:M11"/>
    <mergeCell ref="M19:M23"/>
    <mergeCell ref="M24:M32"/>
    <mergeCell ref="M13:M14"/>
    <mergeCell ref="M15:M18"/>
  </mergeCell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E9FFE3-C35E-44A8-87B0-B12AAAD608A4}">
          <x14:formula1>
            <xm:f>'Lookups (Keep Hidden)'!$A$1:$A$2</xm:f>
          </x14:formula1>
          <xm:sqref>P2:P36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CE08E6-C1B4-4AE8-9738-9240A6B93800}">
  <sheetPr codeName="Sheet8"/>
  <dimension ref="A1:AH40"/>
  <sheetViews>
    <sheetView workbookViewId="0">
      <pane ySplit="3" topLeftCell="A4" activePane="bottomLeft" state="frozen"/>
      <selection pane="bottomLeft" activeCell="K3" sqref="K3"/>
    </sheetView>
  </sheetViews>
  <sheetFormatPr defaultRowHeight="15"/>
  <cols>
    <col min="1" max="1" width="3.7109375" style="1" bestFit="1" customWidth="1"/>
    <col min="2" max="2" width="9.7109375" style="1" customWidth="1"/>
    <col min="3" max="3" width="28.42578125" style="1" bestFit="1" customWidth="1"/>
    <col min="4" max="4" width="11.5703125" style="1" customWidth="1"/>
    <col min="5" max="5" width="9.140625" style="1"/>
    <col min="6" max="6" width="13.42578125" style="1" customWidth="1"/>
    <col min="7" max="7" width="11" style="1" customWidth="1"/>
    <col min="8" max="16384" width="9.140625" style="1"/>
  </cols>
  <sheetData>
    <row r="1" spans="1:34" ht="15.75" thickBot="1">
      <c r="A1" s="38"/>
      <c r="B1" s="39"/>
      <c r="C1" s="39"/>
      <c r="D1" s="393" t="s">
        <v>30</v>
      </c>
      <c r="E1" s="394"/>
      <c r="F1" s="394"/>
      <c r="G1" s="394"/>
      <c r="H1" s="394"/>
      <c r="I1" s="394"/>
      <c r="J1" s="394"/>
      <c r="K1" s="394"/>
      <c r="L1" s="383" t="s">
        <v>44</v>
      </c>
    </row>
    <row r="2" spans="1:34" ht="45.75" thickBot="1">
      <c r="A2" s="40"/>
      <c r="B2" s="41"/>
      <c r="C2" s="41"/>
      <c r="D2" s="48" t="s">
        <v>36</v>
      </c>
      <c r="E2" s="48" t="s">
        <v>37</v>
      </c>
      <c r="F2" s="48" t="s">
        <v>38</v>
      </c>
      <c r="G2" s="48" t="s">
        <v>39</v>
      </c>
      <c r="H2" s="48" t="s">
        <v>40</v>
      </c>
      <c r="I2" s="48" t="s">
        <v>41</v>
      </c>
      <c r="J2" s="48" t="s">
        <v>42</v>
      </c>
      <c r="K2" s="273" t="s">
        <v>43</v>
      </c>
      <c r="L2" s="384"/>
      <c r="N2" s="55" t="s">
        <v>49</v>
      </c>
      <c r="O2" s="56" t="s">
        <v>48</v>
      </c>
    </row>
    <row r="3" spans="1:34" ht="15.75" thickBot="1">
      <c r="A3" s="395" t="s">
        <v>29</v>
      </c>
      <c r="B3" s="396"/>
      <c r="C3" s="397"/>
      <c r="D3" s="233" t="s">
        <v>27</v>
      </c>
      <c r="E3" s="272" t="s">
        <v>27</v>
      </c>
      <c r="F3" s="272" t="s">
        <v>27</v>
      </c>
      <c r="G3" s="272" t="s">
        <v>27</v>
      </c>
      <c r="H3" s="272" t="s">
        <v>27</v>
      </c>
      <c r="I3" s="272" t="s">
        <v>27</v>
      </c>
      <c r="J3" s="272" t="s">
        <v>27</v>
      </c>
      <c r="K3" s="232" t="s">
        <v>27</v>
      </c>
      <c r="L3" s="385"/>
    </row>
    <row r="4" spans="1:34" ht="18" customHeight="1">
      <c r="A4" s="386" t="s">
        <v>31</v>
      </c>
      <c r="B4" s="389" t="s">
        <v>2</v>
      </c>
      <c r="C4" s="62" t="str">
        <f>'Step 1 - System Definition'!O2</f>
        <v>Battery Cell(s)</v>
      </c>
      <c r="D4" s="45" t="b">
        <v>1</v>
      </c>
      <c r="E4" s="270" t="b">
        <v>1</v>
      </c>
      <c r="F4" s="270" t="b">
        <v>1</v>
      </c>
      <c r="G4" s="45" t="b">
        <v>1</v>
      </c>
      <c r="H4" s="270" t="b">
        <v>1</v>
      </c>
      <c r="I4" s="270" t="b">
        <v>1</v>
      </c>
      <c r="J4" s="45" t="b">
        <v>1</v>
      </c>
      <c r="K4" s="271" t="b">
        <v>1</v>
      </c>
      <c r="L4" s="52" cm="1">
        <f t="array" ref="L4">SUMPRODUCT(--($D$3:$K$3="YES")*(D4:K4))</f>
        <v>8</v>
      </c>
      <c r="M4" s="34"/>
      <c r="P4" s="35"/>
      <c r="R4" s="36"/>
      <c r="S4" s="36"/>
      <c r="T4" s="36"/>
      <c r="V4" s="36"/>
      <c r="W4" s="36"/>
      <c r="X4" s="36"/>
      <c r="Y4" s="36"/>
      <c r="AA4" s="36"/>
      <c r="AB4" s="36"/>
      <c r="AC4" s="36"/>
      <c r="AD4" s="36"/>
      <c r="AE4" s="36"/>
      <c r="AF4" s="36"/>
      <c r="AG4" s="36"/>
      <c r="AH4" s="36"/>
    </row>
    <row r="5" spans="1:34" ht="18.75" customHeight="1" thickBot="1">
      <c r="A5" s="387"/>
      <c r="B5" s="390"/>
      <c r="C5" s="60" t="str">
        <f>'Step 1 - System Definition'!O3</f>
        <v>Battery Module(s)</v>
      </c>
      <c r="D5" s="43" t="b">
        <v>1</v>
      </c>
      <c r="E5" s="43" t="b">
        <v>1</v>
      </c>
      <c r="F5" s="43" t="b">
        <v>1</v>
      </c>
      <c r="G5" s="43" t="b">
        <v>1</v>
      </c>
      <c r="H5" s="43" t="b">
        <v>1</v>
      </c>
      <c r="I5" s="43" t="b">
        <v>1</v>
      </c>
      <c r="J5" s="43" t="b">
        <v>1</v>
      </c>
      <c r="K5" s="44" t="b">
        <v>1</v>
      </c>
      <c r="L5" s="50" cm="1">
        <f t="array" ref="L5">SUMPRODUCT(--($D$3:$K$3="YES")*(D5:K5))</f>
        <v>8</v>
      </c>
      <c r="M5" s="37"/>
      <c r="N5" s="67" t="s">
        <v>171</v>
      </c>
      <c r="U5" s="37"/>
      <c r="V5" s="37"/>
      <c r="W5" s="37"/>
      <c r="X5" s="37"/>
      <c r="Y5" s="37"/>
      <c r="Z5" s="37"/>
      <c r="AA5" s="37"/>
      <c r="AB5" s="37"/>
      <c r="AC5" s="37"/>
      <c r="AD5" s="37"/>
      <c r="AE5" s="37"/>
      <c r="AF5" s="37"/>
      <c r="AG5" s="37"/>
      <c r="AH5" s="37"/>
    </row>
    <row r="6" spans="1:34" ht="18" customHeight="1" thickBot="1">
      <c r="A6" s="387"/>
      <c r="B6" s="391"/>
      <c r="C6" s="61" t="str">
        <f>'Step 1 - System Definition'!O4</f>
        <v>Battery Pack(s)</v>
      </c>
      <c r="D6" s="25" t="b">
        <v>1</v>
      </c>
      <c r="E6" s="25" t="b">
        <v>1</v>
      </c>
      <c r="F6" s="25" t="b">
        <v>1</v>
      </c>
      <c r="G6" s="25" t="b">
        <v>1</v>
      </c>
      <c r="H6" s="25" t="b">
        <v>1</v>
      </c>
      <c r="I6" s="25" t="b">
        <v>1</v>
      </c>
      <c r="J6" s="25" t="b">
        <v>1</v>
      </c>
      <c r="K6" s="26" t="b">
        <v>1</v>
      </c>
      <c r="L6" s="51" cm="1">
        <f t="array" ref="L6">SUMPRODUCT(--($D$3:$K$3="YES")*(D6:K6))</f>
        <v>8</v>
      </c>
      <c r="N6" s="367" t="s">
        <v>435</v>
      </c>
      <c r="O6" s="368"/>
      <c r="P6" s="368"/>
      <c r="Q6" s="368"/>
      <c r="R6" s="368"/>
      <c r="S6" s="368"/>
      <c r="T6" s="369"/>
    </row>
    <row r="7" spans="1:34" ht="18" customHeight="1">
      <c r="A7" s="387"/>
      <c r="B7" s="392" t="s">
        <v>32</v>
      </c>
      <c r="C7" s="59" t="str">
        <f>'Step 1 - System Definition'!O5</f>
        <v>Interface Board(s)</v>
      </c>
      <c r="D7" s="19" t="b">
        <v>1</v>
      </c>
      <c r="E7" s="19" t="b">
        <v>1</v>
      </c>
      <c r="F7" s="19" t="b">
        <v>1</v>
      </c>
      <c r="G7" s="19" t="b">
        <v>1</v>
      </c>
      <c r="H7" s="19" t="b">
        <v>1</v>
      </c>
      <c r="I7" s="19" t="b">
        <v>1</v>
      </c>
      <c r="J7" s="19" t="b">
        <v>1</v>
      </c>
      <c r="K7" s="20" t="b">
        <v>1</v>
      </c>
      <c r="L7" s="49" cm="1">
        <f t="array" ref="L7">SUMPRODUCT(--($D$3:$K$3="YES")*(D7:K7))</f>
        <v>8</v>
      </c>
      <c r="N7" s="370"/>
      <c r="O7" s="371"/>
      <c r="P7" s="371"/>
      <c r="Q7" s="371"/>
      <c r="R7" s="371"/>
      <c r="S7" s="371"/>
      <c r="T7" s="372"/>
    </row>
    <row r="8" spans="1:34" ht="18" customHeight="1">
      <c r="A8" s="387"/>
      <c r="B8" s="390"/>
      <c r="C8" s="60" t="str">
        <f>'Step 1 - System Definition'!O6</f>
        <v>Controller</v>
      </c>
      <c r="D8" s="22" t="b">
        <v>1</v>
      </c>
      <c r="E8" s="22" t="b">
        <v>1</v>
      </c>
      <c r="F8" s="22" t="b">
        <v>1</v>
      </c>
      <c r="G8" s="22" t="b">
        <v>1</v>
      </c>
      <c r="H8" s="22" t="b">
        <v>1</v>
      </c>
      <c r="I8" s="22" t="b">
        <v>1</v>
      </c>
      <c r="J8" s="22" t="b">
        <v>1</v>
      </c>
      <c r="K8" s="23" t="b">
        <v>1</v>
      </c>
      <c r="L8" s="50" cm="1">
        <f t="array" ref="L8">SUMPRODUCT(--($D$3:$K$3="YES")*(D8:K8))</f>
        <v>8</v>
      </c>
      <c r="N8" s="370"/>
      <c r="O8" s="371"/>
      <c r="P8" s="371"/>
      <c r="Q8" s="371"/>
      <c r="R8" s="371"/>
      <c r="S8" s="371"/>
      <c r="T8" s="372"/>
    </row>
    <row r="9" spans="1:34" ht="18" customHeight="1" thickBot="1">
      <c r="A9" s="387"/>
      <c r="B9" s="391"/>
      <c r="C9" s="61" t="str">
        <f>'Step 1 - System Definition'!O7</f>
        <v>Sensor(s)</v>
      </c>
      <c r="D9" s="25" t="b">
        <v>1</v>
      </c>
      <c r="E9" s="25" t="b">
        <v>1</v>
      </c>
      <c r="F9" s="25" t="b">
        <v>1</v>
      </c>
      <c r="G9" s="25" t="b">
        <v>1</v>
      </c>
      <c r="H9" s="25" t="b">
        <v>1</v>
      </c>
      <c r="I9" s="25" t="b">
        <v>1</v>
      </c>
      <c r="J9" s="25" t="b">
        <v>1</v>
      </c>
      <c r="K9" s="26" t="b">
        <v>1</v>
      </c>
      <c r="L9" s="51" cm="1">
        <f t="array" ref="L9">SUMPRODUCT(--($D$3:$K$3="YES")*(D9:K9))</f>
        <v>8</v>
      </c>
      <c r="N9" s="370"/>
      <c r="O9" s="371"/>
      <c r="P9" s="371"/>
      <c r="Q9" s="371"/>
      <c r="R9" s="371"/>
      <c r="S9" s="371"/>
      <c r="T9" s="372"/>
    </row>
    <row r="10" spans="1:34">
      <c r="A10" s="387"/>
      <c r="B10" s="392" t="s">
        <v>33</v>
      </c>
      <c r="C10" s="59" t="str">
        <f>'Step 1 - System Definition'!O8</f>
        <v>Battery Thermal Regulation</v>
      </c>
      <c r="D10" s="19" t="b">
        <v>1</v>
      </c>
      <c r="E10" s="19" t="b">
        <v>1</v>
      </c>
      <c r="F10" s="19" t="b">
        <v>1</v>
      </c>
      <c r="G10" s="19" t="b">
        <v>1</v>
      </c>
      <c r="H10" s="19" t="b">
        <v>1</v>
      </c>
      <c r="I10" s="19" t="b">
        <v>1</v>
      </c>
      <c r="J10" s="19" t="b">
        <v>1</v>
      </c>
      <c r="K10" s="20" t="b">
        <v>1</v>
      </c>
      <c r="L10" s="49" cm="1">
        <f t="array" ref="L10">SUMPRODUCT(--($D$3:$K$3="YES")*(D10:K10))</f>
        <v>8</v>
      </c>
      <c r="N10" s="370"/>
      <c r="O10" s="371"/>
      <c r="P10" s="371"/>
      <c r="Q10" s="371"/>
      <c r="R10" s="371"/>
      <c r="S10" s="371"/>
      <c r="T10" s="372"/>
    </row>
    <row r="11" spans="1:34">
      <c r="A11" s="387"/>
      <c r="B11" s="390"/>
      <c r="C11" s="60" t="str">
        <f>'Step 1 - System Definition'!O9</f>
        <v>Rack Thermal Regulation</v>
      </c>
      <c r="D11" s="22" t="b">
        <v>1</v>
      </c>
      <c r="E11" s="22" t="b">
        <v>1</v>
      </c>
      <c r="F11" s="22" t="b">
        <v>1</v>
      </c>
      <c r="G11" s="22" t="b">
        <v>1</v>
      </c>
      <c r="H11" s="22" t="b">
        <v>1</v>
      </c>
      <c r="I11" s="22" t="b">
        <v>1</v>
      </c>
      <c r="J11" s="22" t="b">
        <v>1</v>
      </c>
      <c r="K11" s="23" t="b">
        <v>1</v>
      </c>
      <c r="L11" s="50" cm="1">
        <f t="array" ref="L11">SUMPRODUCT(--($D$3:$K$3="YES")*(D11:K11))</f>
        <v>8</v>
      </c>
      <c r="N11" s="370"/>
      <c r="O11" s="371"/>
      <c r="P11" s="371"/>
      <c r="Q11" s="371"/>
      <c r="R11" s="371"/>
      <c r="S11" s="371"/>
      <c r="T11" s="372"/>
    </row>
    <row r="12" spans="1:34">
      <c r="A12" s="387"/>
      <c r="B12" s="390"/>
      <c r="C12" s="60" t="str">
        <f>'Step 1 - System Definition'!O10</f>
        <v>Container Thermal Regulation</v>
      </c>
      <c r="D12" s="22" t="b">
        <v>1</v>
      </c>
      <c r="E12" s="22" t="b">
        <v>1</v>
      </c>
      <c r="F12" s="22" t="b">
        <v>1</v>
      </c>
      <c r="G12" s="22" t="b">
        <v>1</v>
      </c>
      <c r="H12" s="22" t="b">
        <v>1</v>
      </c>
      <c r="I12" s="22" t="b">
        <v>1</v>
      </c>
      <c r="J12" s="22" t="b">
        <v>1</v>
      </c>
      <c r="K12" s="23" t="b">
        <v>1</v>
      </c>
      <c r="L12" s="50" cm="1">
        <f t="array" ref="L12">SUMPRODUCT(--($D$3:$K$3="YES")*(D12:K12))</f>
        <v>8</v>
      </c>
      <c r="N12" s="370"/>
      <c r="O12" s="371"/>
      <c r="P12" s="371"/>
      <c r="Q12" s="371"/>
      <c r="R12" s="371"/>
      <c r="S12" s="371"/>
      <c r="T12" s="372"/>
    </row>
    <row r="13" spans="1:34" ht="15.75" thickBot="1">
      <c r="A13" s="387"/>
      <c r="B13" s="391"/>
      <c r="C13" s="61" t="str">
        <f>'Step 1 - System Definition'!O11</f>
        <v>Fire Protection</v>
      </c>
      <c r="D13" s="25" t="b">
        <v>1</v>
      </c>
      <c r="E13" s="25" t="b">
        <v>1</v>
      </c>
      <c r="F13" s="25" t="b">
        <v>1</v>
      </c>
      <c r="G13" s="25" t="b">
        <v>1</v>
      </c>
      <c r="H13" s="25" t="b">
        <v>1</v>
      </c>
      <c r="I13" s="25" t="b">
        <v>1</v>
      </c>
      <c r="J13" s="25" t="b">
        <v>1</v>
      </c>
      <c r="K13" s="26" t="b">
        <v>1</v>
      </c>
      <c r="L13" s="51" cm="1">
        <f t="array" ref="L13">SUMPRODUCT(--($D$3:$K$3="YES")*(D13:K13))</f>
        <v>8</v>
      </c>
      <c r="N13" s="370"/>
      <c r="O13" s="371"/>
      <c r="P13" s="371"/>
      <c r="Q13" s="371"/>
      <c r="R13" s="371"/>
      <c r="S13" s="371"/>
      <c r="T13" s="372"/>
    </row>
    <row r="14" spans="1:34" ht="52.5" customHeight="1" thickBot="1">
      <c r="A14" s="387"/>
      <c r="B14" s="42" t="s">
        <v>34</v>
      </c>
      <c r="C14" s="63" t="str">
        <f>'Step 1 - System Definition'!O12</f>
        <v>Inverter(s)</v>
      </c>
      <c r="D14" s="46" t="b">
        <v>1</v>
      </c>
      <c r="E14" s="46" t="b">
        <v>1</v>
      </c>
      <c r="F14" s="46" t="b">
        <v>1</v>
      </c>
      <c r="G14" s="46" t="b">
        <v>1</v>
      </c>
      <c r="H14" s="46" t="b">
        <v>1</v>
      </c>
      <c r="I14" s="46" t="b">
        <v>1</v>
      </c>
      <c r="J14" s="46" t="b">
        <v>1</v>
      </c>
      <c r="K14" s="266" t="b">
        <v>1</v>
      </c>
      <c r="L14" s="54" cm="1">
        <f t="array" ref="L14">SUMPRODUCT(--($D$3:$K$3="YES")*(D14:K14))</f>
        <v>8</v>
      </c>
      <c r="N14" s="370"/>
      <c r="O14" s="371"/>
      <c r="P14" s="371"/>
      <c r="Q14" s="371"/>
      <c r="R14" s="371"/>
      <c r="S14" s="371"/>
      <c r="T14" s="372"/>
    </row>
    <row r="15" spans="1:34" ht="28.5" customHeight="1">
      <c r="A15" s="387"/>
      <c r="B15" s="398" t="s">
        <v>35</v>
      </c>
      <c r="C15" s="59" t="str">
        <f>'Step 1 - System Definition'!O13</f>
        <v>SCADA Server</v>
      </c>
      <c r="D15" s="19" t="b">
        <v>1</v>
      </c>
      <c r="E15" s="19" t="b">
        <v>1</v>
      </c>
      <c r="F15" s="19" t="b">
        <v>1</v>
      </c>
      <c r="G15" s="19" t="b">
        <v>1</v>
      </c>
      <c r="H15" s="19" t="b">
        <v>1</v>
      </c>
      <c r="I15" s="19" t="b">
        <v>1</v>
      </c>
      <c r="J15" s="19" t="b">
        <v>1</v>
      </c>
      <c r="K15" s="20" t="b">
        <v>1</v>
      </c>
      <c r="L15" s="49" cm="1">
        <f t="array" ref="L15">SUMPRODUCT(--($D$3:$K$3="YES")*(D15:K15))</f>
        <v>8</v>
      </c>
      <c r="N15" s="370"/>
      <c r="O15" s="371"/>
      <c r="P15" s="371"/>
      <c r="Q15" s="371"/>
      <c r="R15" s="371"/>
      <c r="S15" s="371"/>
      <c r="T15" s="372"/>
    </row>
    <row r="16" spans="1:34" ht="29.25" customHeight="1" thickBot="1">
      <c r="A16" s="387"/>
      <c r="B16" s="399"/>
      <c r="C16" s="61" t="str">
        <f>'Step 1 - System Definition'!O14</f>
        <v>Local HMI</v>
      </c>
      <c r="D16" s="25" t="b">
        <v>1</v>
      </c>
      <c r="E16" s="25" t="b">
        <v>1</v>
      </c>
      <c r="F16" s="25" t="b">
        <v>1</v>
      </c>
      <c r="G16" s="25" t="b">
        <v>1</v>
      </c>
      <c r="H16" s="25" t="b">
        <v>1</v>
      </c>
      <c r="I16" s="25" t="b">
        <v>1</v>
      </c>
      <c r="J16" s="25" t="b">
        <v>1</v>
      </c>
      <c r="K16" s="26" t="b">
        <v>1</v>
      </c>
      <c r="L16" s="51" cm="1">
        <f t="array" ref="L16">SUMPRODUCT(--($D$3:$K$3="YES")*(D16:K16))</f>
        <v>8</v>
      </c>
      <c r="N16" s="370"/>
      <c r="O16" s="371"/>
      <c r="P16" s="371"/>
      <c r="Q16" s="371"/>
      <c r="R16" s="371"/>
      <c r="S16" s="371"/>
      <c r="T16" s="372"/>
    </row>
    <row r="17" spans="1:20">
      <c r="A17" s="387"/>
      <c r="B17" s="398" t="s">
        <v>173</v>
      </c>
      <c r="C17" s="59" t="str">
        <f>'Step 1 - System Definition'!O15</f>
        <v>BESS Controller</v>
      </c>
      <c r="D17" s="19" t="b">
        <v>1</v>
      </c>
      <c r="E17" s="19" t="b">
        <v>1</v>
      </c>
      <c r="F17" s="19" t="b">
        <v>1</v>
      </c>
      <c r="G17" s="19" t="b">
        <v>1</v>
      </c>
      <c r="H17" s="19" t="b">
        <v>1</v>
      </c>
      <c r="I17" s="19" t="b">
        <v>1</v>
      </c>
      <c r="J17" s="19" t="b">
        <v>1</v>
      </c>
      <c r="K17" s="20" t="b">
        <v>1</v>
      </c>
      <c r="L17" s="49" cm="1">
        <f t="array" ref="L17">SUMPRODUCT(--($D$3:$K$3="YES")*(D17:K17))</f>
        <v>8</v>
      </c>
      <c r="N17" s="370"/>
      <c r="O17" s="371"/>
      <c r="P17" s="371"/>
      <c r="Q17" s="371"/>
      <c r="R17" s="371"/>
      <c r="S17" s="371"/>
      <c r="T17" s="372"/>
    </row>
    <row r="18" spans="1:20">
      <c r="A18" s="387"/>
      <c r="B18" s="400"/>
      <c r="C18" s="60" t="str">
        <f>'Step 1 - System Definition'!O16</f>
        <v>Site Controller</v>
      </c>
      <c r="D18" s="22" t="b">
        <v>1</v>
      </c>
      <c r="E18" s="22" t="b">
        <v>1</v>
      </c>
      <c r="F18" s="22" t="b">
        <v>1</v>
      </c>
      <c r="G18" s="22" t="b">
        <v>1</v>
      </c>
      <c r="H18" s="22" t="b">
        <v>1</v>
      </c>
      <c r="I18" s="22" t="b">
        <v>1</v>
      </c>
      <c r="J18" s="22" t="b">
        <v>1</v>
      </c>
      <c r="K18" s="23" t="b">
        <v>1</v>
      </c>
      <c r="L18" s="50" cm="1">
        <f t="array" ref="L18">SUMPRODUCT(--($D$3:$K$3="YES")*(D18:K18))</f>
        <v>8</v>
      </c>
      <c r="N18" s="370"/>
      <c r="O18" s="371"/>
      <c r="P18" s="371"/>
      <c r="Q18" s="371"/>
      <c r="R18" s="371"/>
      <c r="S18" s="371"/>
      <c r="T18" s="372"/>
    </row>
    <row r="19" spans="1:20">
      <c r="A19" s="387"/>
      <c r="B19" s="400"/>
      <c r="C19" s="60" t="str">
        <f>'Step 1 - System Definition'!O17</f>
        <v>Battery Meter(s)</v>
      </c>
      <c r="D19" s="22" t="b">
        <v>1</v>
      </c>
      <c r="E19" s="22" t="b">
        <v>1</v>
      </c>
      <c r="F19" s="22" t="b">
        <v>1</v>
      </c>
      <c r="G19" s="22" t="b">
        <v>1</v>
      </c>
      <c r="H19" s="22" t="b">
        <v>1</v>
      </c>
      <c r="I19" s="22" t="b">
        <v>1</v>
      </c>
      <c r="J19" s="22" t="b">
        <v>1</v>
      </c>
      <c r="K19" s="23" t="b">
        <v>1</v>
      </c>
      <c r="L19" s="50" cm="1">
        <f t="array" ref="L19">SUMPRODUCT(--($D$3:$K$3="YES")*(D19:K19))</f>
        <v>8</v>
      </c>
      <c r="N19" s="370"/>
      <c r="O19" s="371"/>
      <c r="P19" s="371"/>
      <c r="Q19" s="371"/>
      <c r="R19" s="371"/>
      <c r="S19" s="371"/>
      <c r="T19" s="372"/>
    </row>
    <row r="20" spans="1:20" ht="15.75" thickBot="1">
      <c r="A20" s="387"/>
      <c r="B20" s="399"/>
      <c r="C20" s="61" t="str">
        <f>'Step 1 - System Definition'!O18</f>
        <v>Site/Load Meter(s)</v>
      </c>
      <c r="D20" s="25" t="b">
        <v>1</v>
      </c>
      <c r="E20" s="25" t="b">
        <v>1</v>
      </c>
      <c r="F20" s="25" t="b">
        <v>1</v>
      </c>
      <c r="G20" s="25" t="b">
        <v>1</v>
      </c>
      <c r="H20" s="25" t="b">
        <v>1</v>
      </c>
      <c r="I20" s="25" t="b">
        <v>1</v>
      </c>
      <c r="J20" s="25" t="b">
        <v>1</v>
      </c>
      <c r="K20" s="26" t="b">
        <v>1</v>
      </c>
      <c r="L20" s="51" cm="1">
        <f t="array" ref="L20">SUMPRODUCT(--($D$3:$K$3="YES")*(D20:K20))</f>
        <v>8</v>
      </c>
      <c r="N20" s="370"/>
      <c r="O20" s="371"/>
      <c r="P20" s="371"/>
      <c r="Q20" s="371"/>
      <c r="R20" s="371"/>
      <c r="S20" s="371"/>
      <c r="T20" s="372"/>
    </row>
    <row r="21" spans="1:20" ht="17.25" customHeight="1">
      <c r="A21" s="387"/>
      <c r="B21" s="398" t="s">
        <v>17</v>
      </c>
      <c r="C21" s="59" t="str">
        <f>'Step 1 - System Definition'!O19</f>
        <v>BESS Network Switch(s)</v>
      </c>
      <c r="D21" s="19" t="b">
        <v>1</v>
      </c>
      <c r="E21" s="19" t="b">
        <v>1</v>
      </c>
      <c r="F21" s="19" t="b">
        <v>1</v>
      </c>
      <c r="G21" s="19" t="b">
        <v>1</v>
      </c>
      <c r="H21" s="19" t="b">
        <v>1</v>
      </c>
      <c r="I21" s="19" t="b">
        <v>1</v>
      </c>
      <c r="J21" s="19" t="b">
        <v>1</v>
      </c>
      <c r="K21" s="20" t="b">
        <v>1</v>
      </c>
      <c r="L21" s="49" cm="1">
        <f t="array" ref="L21">SUMPRODUCT(--($D$3:$K$3="YES")*(D21:K21))</f>
        <v>8</v>
      </c>
      <c r="N21" s="370"/>
      <c r="O21" s="371"/>
      <c r="P21" s="371"/>
      <c r="Q21" s="371"/>
      <c r="R21" s="371"/>
      <c r="S21" s="371"/>
      <c r="T21" s="372"/>
    </row>
    <row r="22" spans="1:20" ht="16.5" customHeight="1">
      <c r="A22" s="387"/>
      <c r="B22" s="400"/>
      <c r="C22" s="60" t="str">
        <f>'Step 1 - System Definition'!O20</f>
        <v>Site Network Switch(s)</v>
      </c>
      <c r="D22" s="22" t="b">
        <v>1</v>
      </c>
      <c r="E22" s="22" t="b">
        <v>1</v>
      </c>
      <c r="F22" s="22" t="b">
        <v>1</v>
      </c>
      <c r="G22" s="22" t="b">
        <v>1</v>
      </c>
      <c r="H22" s="22" t="b">
        <v>1</v>
      </c>
      <c r="I22" s="22" t="b">
        <v>1</v>
      </c>
      <c r="J22" s="22" t="b">
        <v>1</v>
      </c>
      <c r="K22" s="23" t="b">
        <v>1</v>
      </c>
      <c r="L22" s="50" cm="1">
        <f t="array" ref="L22">SUMPRODUCT(--($D$3:$K$3="YES")*(D22:K22))</f>
        <v>8</v>
      </c>
      <c r="N22" s="370"/>
      <c r="O22" s="371"/>
      <c r="P22" s="371"/>
      <c r="Q22" s="371"/>
      <c r="R22" s="371"/>
      <c r="S22" s="371"/>
      <c r="T22" s="372"/>
    </row>
    <row r="23" spans="1:20" ht="17.25" customHeight="1">
      <c r="A23" s="387"/>
      <c r="B23" s="400"/>
      <c r="C23" s="60" t="str">
        <f>'Step 1 - System Definition'!O21</f>
        <v>Security Firewall(s)</v>
      </c>
      <c r="D23" s="22" t="b">
        <v>1</v>
      </c>
      <c r="E23" s="22" t="b">
        <v>1</v>
      </c>
      <c r="F23" s="22" t="b">
        <v>1</v>
      </c>
      <c r="G23" s="22" t="b">
        <v>1</v>
      </c>
      <c r="H23" s="22" t="b">
        <v>1</v>
      </c>
      <c r="I23" s="22" t="b">
        <v>1</v>
      </c>
      <c r="J23" s="22" t="b">
        <v>1</v>
      </c>
      <c r="K23" s="23" t="b">
        <v>1</v>
      </c>
      <c r="L23" s="50" cm="1">
        <f t="array" ref="L23">SUMPRODUCT(--($D$3:$K$3="YES")*(D23:K23))</f>
        <v>8</v>
      </c>
      <c r="N23" s="370"/>
      <c r="O23" s="371"/>
      <c r="P23" s="371"/>
      <c r="Q23" s="371"/>
      <c r="R23" s="371"/>
      <c r="S23" s="371"/>
      <c r="T23" s="372"/>
    </row>
    <row r="24" spans="1:20" ht="16.5" customHeight="1">
      <c r="A24" s="387"/>
      <c r="B24" s="400"/>
      <c r="C24" s="60" t="str">
        <f>'Step 1 - System Definition'!O22</f>
        <v>Site Router(s)</v>
      </c>
      <c r="D24" s="22" t="b">
        <v>1</v>
      </c>
      <c r="E24" s="22" t="b">
        <v>1</v>
      </c>
      <c r="F24" s="22" t="b">
        <v>1</v>
      </c>
      <c r="G24" s="22" t="b">
        <v>1</v>
      </c>
      <c r="H24" s="22" t="b">
        <v>1</v>
      </c>
      <c r="I24" s="22" t="b">
        <v>1</v>
      </c>
      <c r="J24" s="22" t="b">
        <v>1</v>
      </c>
      <c r="K24" s="23" t="b">
        <v>1</v>
      </c>
      <c r="L24" s="50" cm="1">
        <f t="array" ref="L24">SUMPRODUCT(--($D$3:$K$3="YES")*(D24:K24))</f>
        <v>8</v>
      </c>
      <c r="N24" s="370"/>
      <c r="O24" s="371"/>
      <c r="P24" s="371"/>
      <c r="Q24" s="371"/>
      <c r="R24" s="371"/>
      <c r="S24" s="371"/>
      <c r="T24" s="372"/>
    </row>
    <row r="25" spans="1:20" ht="18" customHeight="1" thickBot="1">
      <c r="A25" s="387"/>
      <c r="B25" s="399"/>
      <c r="C25" s="61" t="str">
        <f>'Step 1 - System Definition'!O23</f>
        <v>Cell Modem</v>
      </c>
      <c r="D25" s="25" t="b">
        <v>1</v>
      </c>
      <c r="E25" s="25" t="b">
        <v>1</v>
      </c>
      <c r="F25" s="25" t="b">
        <v>1</v>
      </c>
      <c r="G25" s="25" t="b">
        <v>1</v>
      </c>
      <c r="H25" s="25" t="b">
        <v>1</v>
      </c>
      <c r="I25" s="25" t="b">
        <v>1</v>
      </c>
      <c r="J25" s="25" t="b">
        <v>1</v>
      </c>
      <c r="K25" s="26" t="b">
        <v>1</v>
      </c>
      <c r="L25" s="51" cm="1">
        <f t="array" ref="L25">SUMPRODUCT(--($D$3:$K$3="YES")*(D25:K25))</f>
        <v>8</v>
      </c>
      <c r="N25" s="370"/>
      <c r="O25" s="371"/>
      <c r="P25" s="371"/>
      <c r="Q25" s="371"/>
      <c r="R25" s="371"/>
      <c r="S25" s="371"/>
      <c r="T25" s="372"/>
    </row>
    <row r="26" spans="1:20">
      <c r="A26" s="387"/>
      <c r="B26" s="398" t="s">
        <v>22</v>
      </c>
      <c r="C26" s="59" t="str">
        <f>'Step 1 - System Definition'!O24</f>
        <v>Fuses(s)</v>
      </c>
      <c r="D26" s="19" t="b">
        <v>1</v>
      </c>
      <c r="E26" s="19" t="b">
        <v>1</v>
      </c>
      <c r="F26" s="19" t="b">
        <v>1</v>
      </c>
      <c r="G26" s="19" t="b">
        <v>1</v>
      </c>
      <c r="H26" s="19" t="b">
        <v>1</v>
      </c>
      <c r="I26" s="19" t="b">
        <v>1</v>
      </c>
      <c r="J26" s="19" t="b">
        <v>1</v>
      </c>
      <c r="K26" s="20" t="b">
        <v>1</v>
      </c>
      <c r="L26" s="49" cm="1">
        <f t="array" ref="L26">SUMPRODUCT(--($D$3:$K$3="YES")*(D26:K26))</f>
        <v>8</v>
      </c>
      <c r="N26" s="370"/>
      <c r="O26" s="371"/>
      <c r="P26" s="371"/>
      <c r="Q26" s="371"/>
      <c r="R26" s="371"/>
      <c r="S26" s="371"/>
      <c r="T26" s="372"/>
    </row>
    <row r="27" spans="1:20" ht="15.75" thickBot="1">
      <c r="A27" s="387"/>
      <c r="B27" s="400"/>
      <c r="C27" s="60" t="str">
        <f>'Step 1 - System Definition'!O25</f>
        <v>AC Circuit Breaker(s)</v>
      </c>
      <c r="D27" s="22" t="b">
        <v>1</v>
      </c>
      <c r="E27" s="22" t="b">
        <v>1</v>
      </c>
      <c r="F27" s="22" t="b">
        <v>1</v>
      </c>
      <c r="G27" s="22" t="b">
        <v>1</v>
      </c>
      <c r="H27" s="22" t="b">
        <v>1</v>
      </c>
      <c r="I27" s="22" t="b">
        <v>1</v>
      </c>
      <c r="J27" s="22" t="b">
        <v>1</v>
      </c>
      <c r="K27" s="23" t="b">
        <v>1</v>
      </c>
      <c r="L27" s="50" cm="1">
        <f t="array" ref="L27">SUMPRODUCT(--($D$3:$K$3="YES")*(D27:K27))</f>
        <v>8</v>
      </c>
      <c r="N27" s="373"/>
      <c r="O27" s="374"/>
      <c r="P27" s="374"/>
      <c r="Q27" s="374"/>
      <c r="R27" s="374"/>
      <c r="S27" s="374"/>
      <c r="T27" s="375"/>
    </row>
    <row r="28" spans="1:20">
      <c r="A28" s="387"/>
      <c r="B28" s="400"/>
      <c r="C28" s="60" t="str">
        <f>'Step 1 - System Definition'!O26</f>
        <v>Control Power Transformer</v>
      </c>
      <c r="D28" s="22" t="b">
        <v>1</v>
      </c>
      <c r="E28" s="22" t="b">
        <v>1</v>
      </c>
      <c r="F28" s="22" t="b">
        <v>1</v>
      </c>
      <c r="G28" s="22" t="b">
        <v>1</v>
      </c>
      <c r="H28" s="22" t="b">
        <v>1</v>
      </c>
      <c r="I28" s="22" t="b">
        <v>1</v>
      </c>
      <c r="J28" s="22" t="b">
        <v>1</v>
      </c>
      <c r="K28" s="23" t="b">
        <v>1</v>
      </c>
      <c r="L28" s="50" cm="1">
        <f t="array" ref="L28">SUMPRODUCT(--($D$3:$K$3="YES")*(D28:K28))</f>
        <v>8</v>
      </c>
      <c r="N28" s="87"/>
      <c r="O28" s="87"/>
      <c r="P28" s="87"/>
      <c r="Q28" s="87"/>
      <c r="R28" s="87"/>
      <c r="S28" s="87"/>
      <c r="T28" s="87"/>
    </row>
    <row r="29" spans="1:20">
      <c r="A29" s="387"/>
      <c r="B29" s="400"/>
      <c r="C29" s="60" t="str">
        <f>'Step 1 - System Definition'!O27</f>
        <v>Local Power Level Transformer</v>
      </c>
      <c r="D29" s="22" t="b">
        <v>1</v>
      </c>
      <c r="E29" s="22" t="b">
        <v>1</v>
      </c>
      <c r="F29" s="22" t="b">
        <v>1</v>
      </c>
      <c r="G29" s="22" t="b">
        <v>1</v>
      </c>
      <c r="H29" s="22" t="b">
        <v>1</v>
      </c>
      <c r="I29" s="22" t="b">
        <v>1</v>
      </c>
      <c r="J29" s="22" t="b">
        <v>1</v>
      </c>
      <c r="K29" s="23" t="b">
        <v>1</v>
      </c>
      <c r="L29" s="50" cm="1">
        <f t="array" ref="L29">SUMPRODUCT(--($D$3:$K$3="YES")*(D29:K29))</f>
        <v>8</v>
      </c>
      <c r="N29" s="87"/>
      <c r="O29" s="87"/>
      <c r="P29" s="87"/>
      <c r="Q29" s="87"/>
      <c r="R29" s="87"/>
      <c r="S29" s="87"/>
      <c r="T29" s="87"/>
    </row>
    <row r="30" spans="1:20">
      <c r="A30" s="387"/>
      <c r="B30" s="400"/>
      <c r="C30" s="60" t="str">
        <f>'Step 1 - System Definition'!O28</f>
        <v>Utility Power Level Transformer</v>
      </c>
      <c r="D30" s="22" t="b">
        <v>1</v>
      </c>
      <c r="E30" s="22" t="b">
        <v>1</v>
      </c>
      <c r="F30" s="22" t="b">
        <v>1</v>
      </c>
      <c r="G30" s="22" t="b">
        <v>1</v>
      </c>
      <c r="H30" s="22" t="b">
        <v>1</v>
      </c>
      <c r="I30" s="22" t="b">
        <v>1</v>
      </c>
      <c r="J30" s="22" t="b">
        <v>1</v>
      </c>
      <c r="K30" s="23" t="b">
        <v>1</v>
      </c>
      <c r="L30" s="50" cm="1">
        <f t="array" ref="L30">SUMPRODUCT(--($D$3:$K$3="YES")*(D30:K30))</f>
        <v>8</v>
      </c>
      <c r="N30" s="87"/>
      <c r="O30" s="87"/>
      <c r="P30" s="87"/>
      <c r="Q30" s="87"/>
      <c r="R30" s="87"/>
      <c r="S30" s="87"/>
      <c r="T30" s="87"/>
    </row>
    <row r="31" spans="1:20">
      <c r="A31" s="387"/>
      <c r="B31" s="400"/>
      <c r="C31" s="60" t="str">
        <f>'Step 1 - System Definition'!O29</f>
        <v>Local Power Level Switchgear</v>
      </c>
      <c r="D31" s="22" t="b">
        <v>1</v>
      </c>
      <c r="E31" s="22" t="b">
        <v>1</v>
      </c>
      <c r="F31" s="22" t="b">
        <v>1</v>
      </c>
      <c r="G31" s="22" t="b">
        <v>1</v>
      </c>
      <c r="H31" s="22" t="b">
        <v>1</v>
      </c>
      <c r="I31" s="22" t="b">
        <v>1</v>
      </c>
      <c r="J31" s="22" t="b">
        <v>1</v>
      </c>
      <c r="K31" s="23" t="b">
        <v>1</v>
      </c>
      <c r="L31" s="50" cm="1">
        <f t="array" ref="L31">SUMPRODUCT(--($D$3:$K$3="YES")*(D31:K31))</f>
        <v>8</v>
      </c>
      <c r="N31" s="87"/>
      <c r="O31" s="87"/>
      <c r="P31" s="87"/>
      <c r="Q31" s="87"/>
      <c r="R31" s="87"/>
      <c r="S31" s="87"/>
      <c r="T31" s="87"/>
    </row>
    <row r="32" spans="1:20">
      <c r="A32" s="387"/>
      <c r="B32" s="400"/>
      <c r="C32" s="60" t="str">
        <f>'Step 1 - System Definition'!O30</f>
        <v>Utility Power Level Switchgear</v>
      </c>
      <c r="D32" s="22" t="b">
        <v>1</v>
      </c>
      <c r="E32" s="22" t="b">
        <v>1</v>
      </c>
      <c r="F32" s="22" t="b">
        <v>1</v>
      </c>
      <c r="G32" s="22" t="b">
        <v>1</v>
      </c>
      <c r="H32" s="22" t="b">
        <v>1</v>
      </c>
      <c r="I32" s="22" t="b">
        <v>1</v>
      </c>
      <c r="J32" s="22" t="b">
        <v>1</v>
      </c>
      <c r="K32" s="23" t="b">
        <v>1</v>
      </c>
      <c r="L32" s="50" cm="1">
        <f t="array" ref="L32">SUMPRODUCT(--($D$3:$K$3="YES")*(D32:K32))</f>
        <v>8</v>
      </c>
      <c r="N32" s="87"/>
      <c r="O32" s="87"/>
      <c r="P32" s="87"/>
      <c r="Q32" s="87"/>
      <c r="R32" s="87"/>
      <c r="S32" s="87"/>
      <c r="T32" s="87"/>
    </row>
    <row r="33" spans="1:20">
      <c r="A33" s="387"/>
      <c r="B33" s="400"/>
      <c r="C33" s="60" t="str">
        <f>'Step 1 - System Definition'!O31</f>
        <v>Recloser</v>
      </c>
      <c r="D33" s="22" t="b">
        <v>1</v>
      </c>
      <c r="E33" s="22" t="b">
        <v>1</v>
      </c>
      <c r="F33" s="22" t="b">
        <v>1</v>
      </c>
      <c r="G33" s="22" t="b">
        <v>1</v>
      </c>
      <c r="H33" s="22" t="b">
        <v>1</v>
      </c>
      <c r="I33" s="22" t="b">
        <v>1</v>
      </c>
      <c r="J33" s="22" t="b">
        <v>1</v>
      </c>
      <c r="K33" s="23" t="b">
        <v>1</v>
      </c>
      <c r="L33" s="50" cm="1">
        <f t="array" ref="L33">SUMPRODUCT(--($D$3:$K$3="YES")*(D33:K33))</f>
        <v>8</v>
      </c>
      <c r="N33" s="87"/>
      <c r="O33" s="87"/>
      <c r="P33" s="87"/>
      <c r="Q33" s="87"/>
      <c r="R33" s="87"/>
      <c r="S33" s="87"/>
      <c r="T33" s="87"/>
    </row>
    <row r="34" spans="1:20" ht="15.75" thickBot="1">
      <c r="A34" s="388"/>
      <c r="B34" s="399"/>
      <c r="C34" s="61" t="str">
        <f>'Step 1 - System Definition'!O32</f>
        <v>Protection Relay(s)</v>
      </c>
      <c r="D34" s="25" t="b">
        <v>1</v>
      </c>
      <c r="E34" s="25" t="b">
        <v>1</v>
      </c>
      <c r="F34" s="25" t="b">
        <v>1</v>
      </c>
      <c r="G34" s="25" t="b">
        <v>1</v>
      </c>
      <c r="H34" s="25" t="b">
        <v>1</v>
      </c>
      <c r="I34" s="25" t="b">
        <v>1</v>
      </c>
      <c r="J34" s="25" t="b">
        <v>1</v>
      </c>
      <c r="K34" s="26" t="b">
        <v>1</v>
      </c>
      <c r="L34" s="51" cm="1">
        <f t="array" ref="L34">SUMPRODUCT(--($D$3:$K$3="YES")*(D34:K34))</f>
        <v>8</v>
      </c>
      <c r="N34" s="87"/>
      <c r="O34" s="87"/>
      <c r="P34" s="87"/>
      <c r="Q34" s="87"/>
      <c r="R34" s="87"/>
      <c r="S34" s="87"/>
      <c r="T34" s="87"/>
    </row>
    <row r="35" spans="1:20">
      <c r="A35" s="166"/>
      <c r="B35" s="380" t="s">
        <v>358</v>
      </c>
      <c r="C35" s="59" t="s">
        <v>359</v>
      </c>
      <c r="D35" s="19" t="b">
        <v>1</v>
      </c>
      <c r="E35" s="19" t="b">
        <v>1</v>
      </c>
      <c r="F35" s="19" t="b">
        <v>1</v>
      </c>
      <c r="G35" s="19" t="b">
        <v>1</v>
      </c>
      <c r="H35" s="19" t="b">
        <v>1</v>
      </c>
      <c r="I35" s="19" t="b">
        <v>1</v>
      </c>
      <c r="J35" s="19" t="b">
        <v>1</v>
      </c>
      <c r="K35" s="19" t="b">
        <v>1</v>
      </c>
      <c r="L35" s="167" cm="1">
        <f t="array" ref="L35">SUMPRODUCT(--($D$3:$K$3="YES")*(D35:K35))</f>
        <v>8</v>
      </c>
      <c r="N35" s="87"/>
      <c r="O35" s="87"/>
      <c r="P35" s="87"/>
      <c r="Q35" s="87"/>
      <c r="R35" s="87"/>
      <c r="S35" s="87"/>
      <c r="T35" s="87"/>
    </row>
    <row r="36" spans="1:20">
      <c r="A36" s="166"/>
      <c r="B36" s="381"/>
      <c r="C36" s="60" t="s">
        <v>360</v>
      </c>
      <c r="D36" s="22" t="b">
        <v>1</v>
      </c>
      <c r="E36" s="22" t="b">
        <v>1</v>
      </c>
      <c r="F36" s="22" t="b">
        <v>1</v>
      </c>
      <c r="G36" s="22" t="b">
        <v>1</v>
      </c>
      <c r="H36" s="22" t="b">
        <v>1</v>
      </c>
      <c r="I36" s="22" t="b">
        <v>1</v>
      </c>
      <c r="J36" s="22" t="b">
        <v>1</v>
      </c>
      <c r="K36" s="22" t="b">
        <v>1</v>
      </c>
      <c r="L36" s="53" cm="1">
        <f t="array" ref="L36">SUMPRODUCT(--($D$3:$K$3="YES")*(D36:K36))</f>
        <v>8</v>
      </c>
      <c r="N36" s="87"/>
      <c r="O36" s="87"/>
      <c r="P36" s="87"/>
      <c r="Q36" s="87"/>
      <c r="R36" s="87"/>
      <c r="S36" s="87"/>
      <c r="T36" s="87"/>
    </row>
    <row r="37" spans="1:20">
      <c r="A37" s="166"/>
      <c r="B37" s="381"/>
      <c r="C37" s="60" t="s">
        <v>361</v>
      </c>
      <c r="D37" s="22" t="b">
        <v>1</v>
      </c>
      <c r="E37" s="22" t="b">
        <v>1</v>
      </c>
      <c r="F37" s="22" t="b">
        <v>1</v>
      </c>
      <c r="G37" s="22" t="b">
        <v>1</v>
      </c>
      <c r="H37" s="22" t="b">
        <v>1</v>
      </c>
      <c r="I37" s="22" t="b">
        <v>1</v>
      </c>
      <c r="J37" s="22" t="b">
        <v>1</v>
      </c>
      <c r="K37" s="22" t="b">
        <v>1</v>
      </c>
      <c r="L37" s="53" cm="1">
        <f t="array" ref="L37">SUMPRODUCT(--($D$3:$K$3="YES")*(D37:K37))</f>
        <v>8</v>
      </c>
      <c r="N37" s="87"/>
      <c r="O37" s="87"/>
      <c r="P37" s="87"/>
      <c r="Q37" s="87"/>
      <c r="R37" s="87"/>
      <c r="S37" s="87"/>
      <c r="T37" s="87"/>
    </row>
    <row r="38" spans="1:20" ht="15.75" thickBot="1">
      <c r="A38" s="166"/>
      <c r="B38" s="382"/>
      <c r="C38" s="61" t="s">
        <v>362</v>
      </c>
      <c r="D38" s="25" t="b">
        <v>1</v>
      </c>
      <c r="E38" s="25" t="b">
        <v>1</v>
      </c>
      <c r="F38" s="25" t="b">
        <v>1</v>
      </c>
      <c r="G38" s="25" t="b">
        <v>1</v>
      </c>
      <c r="H38" s="25" t="b">
        <v>1</v>
      </c>
      <c r="I38" s="25" t="b">
        <v>1</v>
      </c>
      <c r="J38" s="25" t="b">
        <v>1</v>
      </c>
      <c r="K38" s="25" t="b">
        <v>1</v>
      </c>
      <c r="L38" s="51" cm="1">
        <f t="array" ref="L38">SUMPRODUCT(--($D$3:$K$3="YES")*(D38:K38))</f>
        <v>8</v>
      </c>
      <c r="N38" s="87"/>
      <c r="O38" s="87"/>
      <c r="P38" s="87"/>
      <c r="Q38" s="87"/>
      <c r="R38" s="87"/>
      <c r="S38" s="87"/>
      <c r="T38" s="87"/>
    </row>
    <row r="39" spans="1:20" ht="15.75" thickBot="1">
      <c r="C39" s="267" t="s">
        <v>44</v>
      </c>
      <c r="D39" s="268" cm="1">
        <f t="array" ref="D39">SUMPRODUCT(--(D3="YES")*(D4:D38))</f>
        <v>35</v>
      </c>
      <c r="E39" s="268" cm="1">
        <f t="array" ref="E39">SUMPRODUCT(--(E3="YES")*(E4:E38))</f>
        <v>35</v>
      </c>
      <c r="F39" s="268" cm="1">
        <f t="array" ref="F39">SUMPRODUCT(--(F3="YES")*(F4:F38))</f>
        <v>35</v>
      </c>
      <c r="G39" s="268" cm="1">
        <f t="array" ref="G39">SUMPRODUCT(--(G3="YES")*(G4:G38))</f>
        <v>35</v>
      </c>
      <c r="H39" s="268" cm="1">
        <f t="array" ref="H39">SUMPRODUCT(--(H3="YES")*(H4:H38))</f>
        <v>35</v>
      </c>
      <c r="I39" s="268" cm="1">
        <f t="array" ref="I39">SUMPRODUCT(--(I3="YES")*(I4:I38))</f>
        <v>35</v>
      </c>
      <c r="J39" s="268" cm="1">
        <f t="array" ref="J39">SUMPRODUCT(--(J3="YES")*(J4:J38))</f>
        <v>35</v>
      </c>
      <c r="K39" s="268" cm="1">
        <f t="array" ref="K39">SUMPRODUCT(--(K3="YES")*(K4:K38))</f>
        <v>35</v>
      </c>
      <c r="L39" s="269">
        <f>SUM(D39:K39)</f>
        <v>280</v>
      </c>
      <c r="N39" s="87"/>
      <c r="O39" s="87"/>
      <c r="P39" s="87"/>
      <c r="Q39" s="87"/>
      <c r="R39" s="87"/>
      <c r="S39" s="87"/>
      <c r="T39" s="87"/>
    </row>
    <row r="40" spans="1:20">
      <c r="N40" s="87"/>
      <c r="O40" s="87"/>
      <c r="P40" s="87"/>
      <c r="Q40" s="87"/>
      <c r="R40" s="87"/>
      <c r="S40" s="87"/>
      <c r="T40" s="87"/>
    </row>
  </sheetData>
  <mergeCells count="13">
    <mergeCell ref="N6:T27"/>
    <mergeCell ref="B35:B38"/>
    <mergeCell ref="L1:L3"/>
    <mergeCell ref="A4:A34"/>
    <mergeCell ref="B4:B6"/>
    <mergeCell ref="B7:B9"/>
    <mergeCell ref="D1:K1"/>
    <mergeCell ref="A3:C3"/>
    <mergeCell ref="B10:B13"/>
    <mergeCell ref="B15:B16"/>
    <mergeCell ref="B17:B20"/>
    <mergeCell ref="B21:B25"/>
    <mergeCell ref="B26:B34"/>
  </mergeCells>
  <conditionalFormatting sqref="D4:K38">
    <cfRule type="containsText" dxfId="177" priority="11" operator="containsText" text="TRUE">
      <formula>NOT(ISERROR(SEARCH("TRUE",D4)))</formula>
    </cfRule>
    <cfRule type="containsText" dxfId="176" priority="12" operator="containsText" text="FALSE">
      <formula>NOT(ISERROR(SEARCH("FALSE",D4)))</formula>
    </cfRule>
  </conditionalFormatting>
  <conditionalFormatting sqref="D4:D39 E39:K39">
    <cfRule type="expression" dxfId="175" priority="10" stopIfTrue="1">
      <formula>$D$3="No"</formula>
    </cfRule>
  </conditionalFormatting>
  <conditionalFormatting sqref="E4:E38">
    <cfRule type="expression" dxfId="174" priority="9" stopIfTrue="1">
      <formula>$E$3="No"</formula>
    </cfRule>
  </conditionalFormatting>
  <conditionalFormatting sqref="K4:K38">
    <cfRule type="expression" dxfId="173" priority="3" stopIfTrue="1">
      <formula>$K$3="No"</formula>
    </cfRule>
  </conditionalFormatting>
  <conditionalFormatting sqref="J4:J38">
    <cfRule type="expression" dxfId="172" priority="4" stopIfTrue="1">
      <formula>$J$3="No"</formula>
    </cfRule>
  </conditionalFormatting>
  <conditionalFormatting sqref="I4:I38">
    <cfRule type="expression" dxfId="171" priority="5" stopIfTrue="1">
      <formula>$I$3="No"</formula>
    </cfRule>
  </conditionalFormatting>
  <conditionalFormatting sqref="H4:H38">
    <cfRule type="expression" dxfId="170" priority="6" stopIfTrue="1">
      <formula>$H$3="No"</formula>
    </cfRule>
  </conditionalFormatting>
  <conditionalFormatting sqref="G4:G38">
    <cfRule type="expression" dxfId="169" priority="7" stopIfTrue="1">
      <formula>$G$3="No"</formula>
    </cfRule>
  </conditionalFormatting>
  <conditionalFormatting sqref="F4:F38">
    <cfRule type="expression" dxfId="168" priority="8" stopIfTrue="1">
      <formula>$F$3="No"</formula>
    </cfRule>
  </conditionalFormatting>
  <conditionalFormatting sqref="D3:K3">
    <cfRule type="containsText" dxfId="167" priority="1" operator="containsText" text="No">
      <formula>NOT(ISERROR(SEARCH("No",D3)))</formula>
    </cfRule>
    <cfRule type="containsText" dxfId="166" priority="2" operator="containsText" text="Yes">
      <formula>NOT(ISERROR(SEARCH("Yes",D3)))</formula>
    </cfRule>
  </conditionalFormatting>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D52060D-4104-444C-B5FA-778E901226E8}">
          <x14:formula1>
            <xm:f>'Lookups (Keep Hidden)'!$A$1:$A$2</xm:f>
          </x14:formula1>
          <xm:sqref>D3:K3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451C1-D341-4977-86D9-72D9C1737B94}">
  <sheetPr codeName="Sheet9"/>
  <dimension ref="A1:AH37"/>
  <sheetViews>
    <sheetView zoomScaleNormal="100" workbookViewId="0">
      <pane xSplit="3" ySplit="2" topLeftCell="D3" activePane="bottomRight" state="frozen"/>
      <selection pane="topRight" activeCell="D1" sqref="D1"/>
      <selection pane="bottomLeft" activeCell="A3" sqref="A3"/>
      <selection pane="bottomRight" activeCell="K37" sqref="K2:K37"/>
    </sheetView>
  </sheetViews>
  <sheetFormatPr defaultRowHeight="15"/>
  <cols>
    <col min="1" max="1" width="3.7109375" style="1" bestFit="1" customWidth="1"/>
    <col min="2" max="2" width="9.7109375" style="1" customWidth="1"/>
    <col min="3" max="3" width="28.42578125" style="1" bestFit="1" customWidth="1"/>
    <col min="4" max="11" width="42.85546875" style="1" customWidth="1"/>
    <col min="12" max="16384" width="9.140625" style="1"/>
  </cols>
  <sheetData>
    <row r="1" spans="1:34" ht="15.75" thickBot="1">
      <c r="A1" s="88" t="s">
        <v>248</v>
      </c>
      <c r="B1" s="41"/>
      <c r="C1" s="39"/>
      <c r="D1" s="393" t="s">
        <v>30</v>
      </c>
      <c r="E1" s="394"/>
      <c r="F1" s="394"/>
      <c r="G1" s="394"/>
      <c r="H1" s="394"/>
      <c r="I1" s="394"/>
      <c r="J1" s="394"/>
      <c r="K1" s="403"/>
      <c r="L1" s="404"/>
    </row>
    <row r="2" spans="1:34" ht="15.75" thickBot="1">
      <c r="A2" s="40"/>
      <c r="B2" s="340" t="s">
        <v>101</v>
      </c>
      <c r="C2" s="340"/>
      <c r="D2" s="28" t="s">
        <v>36</v>
      </c>
      <c r="E2" s="28" t="s">
        <v>37</v>
      </c>
      <c r="F2" s="28" t="s">
        <v>38</v>
      </c>
      <c r="G2" s="28" t="s">
        <v>39</v>
      </c>
      <c r="H2" s="28" t="s">
        <v>40</v>
      </c>
      <c r="I2" s="28" t="s">
        <v>41</v>
      </c>
      <c r="J2" s="28" t="s">
        <v>42</v>
      </c>
      <c r="K2" s="28" t="s">
        <v>43</v>
      </c>
      <c r="L2" s="404"/>
      <c r="M2" s="67" t="s">
        <v>171</v>
      </c>
    </row>
    <row r="3" spans="1:34" ht="135" customHeight="1">
      <c r="A3" s="401" t="s">
        <v>31</v>
      </c>
      <c r="B3" s="392" t="s">
        <v>2</v>
      </c>
      <c r="C3" s="64" t="str">
        <f>'Step 1 - System Definition'!O2</f>
        <v>Battery Cell(s)</v>
      </c>
      <c r="D3" s="276" t="s">
        <v>174</v>
      </c>
      <c r="E3" s="276" t="s">
        <v>174</v>
      </c>
      <c r="F3" s="276" t="s">
        <v>174</v>
      </c>
      <c r="G3" s="276" t="s">
        <v>174</v>
      </c>
      <c r="H3" s="276" t="s">
        <v>174</v>
      </c>
      <c r="I3" s="276" t="s">
        <v>174</v>
      </c>
      <c r="J3" s="276" t="s">
        <v>174</v>
      </c>
      <c r="K3" s="276" t="s">
        <v>174</v>
      </c>
      <c r="L3" s="57"/>
      <c r="M3" s="367" t="s">
        <v>436</v>
      </c>
      <c r="N3" s="368"/>
      <c r="O3" s="368"/>
      <c r="P3" s="368"/>
      <c r="Q3" s="368"/>
      <c r="R3" s="368"/>
      <c r="S3" s="369"/>
      <c r="T3" s="36"/>
      <c r="V3" s="36"/>
      <c r="W3" s="36"/>
      <c r="X3" s="36"/>
      <c r="Y3" s="36"/>
      <c r="AA3" s="36"/>
      <c r="AB3" s="36"/>
      <c r="AC3" s="36"/>
      <c r="AD3" s="36"/>
      <c r="AE3" s="36"/>
      <c r="AF3" s="36"/>
      <c r="AG3" s="36"/>
      <c r="AH3" s="36"/>
    </row>
    <row r="4" spans="1:34" ht="120">
      <c r="A4" s="402"/>
      <c r="B4" s="390"/>
      <c r="C4" s="65" t="str">
        <f>'Step 1 - System Definition'!O3</f>
        <v>Battery Module(s)</v>
      </c>
      <c r="D4" s="235" t="s">
        <v>175</v>
      </c>
      <c r="E4" s="280" t="s">
        <v>175</v>
      </c>
      <c r="F4" s="235" t="s">
        <v>175</v>
      </c>
      <c r="G4" s="235" t="s">
        <v>175</v>
      </c>
      <c r="H4" s="235" t="s">
        <v>175</v>
      </c>
      <c r="I4" s="235" t="s">
        <v>175</v>
      </c>
      <c r="J4" s="235" t="s">
        <v>175</v>
      </c>
      <c r="K4" s="235" t="s">
        <v>175</v>
      </c>
      <c r="L4" s="57"/>
      <c r="M4" s="370"/>
      <c r="N4" s="371"/>
      <c r="O4" s="371"/>
      <c r="P4" s="371"/>
      <c r="Q4" s="371"/>
      <c r="R4" s="371"/>
      <c r="S4" s="372"/>
      <c r="T4" s="37"/>
      <c r="U4" s="37"/>
      <c r="V4" s="37"/>
      <c r="W4" s="37"/>
      <c r="X4" s="37"/>
      <c r="Y4" s="37"/>
      <c r="Z4" s="37"/>
      <c r="AA4" s="37"/>
      <c r="AB4" s="37"/>
      <c r="AC4" s="37"/>
      <c r="AD4" s="37"/>
      <c r="AE4" s="37"/>
      <c r="AF4" s="37"/>
      <c r="AG4" s="37"/>
      <c r="AH4" s="37"/>
    </row>
    <row r="5" spans="1:34" ht="165.75" thickBot="1">
      <c r="A5" s="402"/>
      <c r="B5" s="391"/>
      <c r="C5" s="66" t="str">
        <f>'Step 1 - System Definition'!O4</f>
        <v>Battery Pack(s)</v>
      </c>
      <c r="D5" s="236" t="s">
        <v>176</v>
      </c>
      <c r="E5" s="278" t="s">
        <v>176</v>
      </c>
      <c r="F5" s="236" t="s">
        <v>176</v>
      </c>
      <c r="G5" s="236" t="s">
        <v>176</v>
      </c>
      <c r="H5" s="236" t="s">
        <v>176</v>
      </c>
      <c r="I5" s="236" t="s">
        <v>176</v>
      </c>
      <c r="J5" s="236" t="s">
        <v>176</v>
      </c>
      <c r="K5" s="236" t="s">
        <v>176</v>
      </c>
      <c r="L5" s="57"/>
      <c r="M5" s="370"/>
      <c r="N5" s="371"/>
      <c r="O5" s="371"/>
      <c r="P5" s="371"/>
      <c r="Q5" s="371"/>
      <c r="R5" s="371"/>
      <c r="S5" s="372"/>
    </row>
    <row r="6" spans="1:34" ht="315.75" thickBot="1">
      <c r="A6" s="402"/>
      <c r="B6" s="392" t="s">
        <v>32</v>
      </c>
      <c r="C6" s="64" t="str">
        <f>'Step 1 - System Definition'!O5</f>
        <v>Interface Board(s)</v>
      </c>
      <c r="D6" s="234" t="s">
        <v>179</v>
      </c>
      <c r="E6" s="276" t="s">
        <v>178</v>
      </c>
      <c r="F6" s="234" t="s">
        <v>178</v>
      </c>
      <c r="G6" s="234" t="s">
        <v>178</v>
      </c>
      <c r="H6" s="234" t="s">
        <v>178</v>
      </c>
      <c r="I6" s="234" t="s">
        <v>178</v>
      </c>
      <c r="J6" s="234" t="s">
        <v>178</v>
      </c>
      <c r="K6" s="234" t="s">
        <v>178</v>
      </c>
      <c r="L6" s="57"/>
      <c r="M6" s="373"/>
      <c r="N6" s="374"/>
      <c r="O6" s="374"/>
      <c r="P6" s="374"/>
      <c r="Q6" s="374"/>
      <c r="R6" s="374"/>
      <c r="S6" s="375"/>
    </row>
    <row r="7" spans="1:34" ht="315">
      <c r="A7" s="402"/>
      <c r="B7" s="390"/>
      <c r="C7" s="65" t="str">
        <f>'Step 1 - System Definition'!O6</f>
        <v>Controller</v>
      </c>
      <c r="D7" s="235" t="s">
        <v>328</v>
      </c>
      <c r="E7" s="280" t="s">
        <v>180</v>
      </c>
      <c r="F7" s="235" t="s">
        <v>180</v>
      </c>
      <c r="G7" s="235" t="s">
        <v>180</v>
      </c>
      <c r="H7" s="235" t="s">
        <v>180</v>
      </c>
      <c r="I7" s="235" t="s">
        <v>180</v>
      </c>
      <c r="J7" s="235" t="s">
        <v>180</v>
      </c>
      <c r="K7" s="235" t="s">
        <v>180</v>
      </c>
      <c r="L7" s="57"/>
      <c r="M7" s="87"/>
      <c r="N7" s="87"/>
      <c r="O7" s="87"/>
      <c r="P7" s="87"/>
      <c r="Q7" s="87"/>
      <c r="R7" s="87"/>
      <c r="S7" s="87"/>
    </row>
    <row r="8" spans="1:34" ht="255.75" thickBot="1">
      <c r="A8" s="402"/>
      <c r="B8" s="391"/>
      <c r="C8" s="66" t="str">
        <f>'Step 1 - System Definition'!O7</f>
        <v>Sensor(s)</v>
      </c>
      <c r="D8" s="236" t="s">
        <v>177</v>
      </c>
      <c r="E8" s="278" t="s">
        <v>177</v>
      </c>
      <c r="F8" s="236" t="s">
        <v>177</v>
      </c>
      <c r="G8" s="236" t="s">
        <v>177</v>
      </c>
      <c r="H8" s="236" t="s">
        <v>177</v>
      </c>
      <c r="I8" s="236" t="s">
        <v>177</v>
      </c>
      <c r="J8" s="236" t="s">
        <v>177</v>
      </c>
      <c r="K8" s="236" t="s">
        <v>177</v>
      </c>
      <c r="L8" s="57"/>
      <c r="M8" s="87"/>
      <c r="N8" s="87"/>
      <c r="O8" s="87"/>
      <c r="P8" s="87"/>
      <c r="Q8" s="87"/>
      <c r="R8" s="87"/>
      <c r="S8" s="87"/>
    </row>
    <row r="9" spans="1:34" ht="180">
      <c r="A9" s="402"/>
      <c r="B9" s="392" t="s">
        <v>33</v>
      </c>
      <c r="C9" s="64" t="str">
        <f>'Step 1 - System Definition'!O8</f>
        <v>Battery Thermal Regulation</v>
      </c>
      <c r="D9" s="276" t="s">
        <v>181</v>
      </c>
      <c r="E9" s="234" t="s">
        <v>181</v>
      </c>
      <c r="F9" s="234" t="s">
        <v>181</v>
      </c>
      <c r="G9" s="234" t="s">
        <v>181</v>
      </c>
      <c r="H9" s="234" t="s">
        <v>181</v>
      </c>
      <c r="I9" s="234" t="s">
        <v>181</v>
      </c>
      <c r="J9" s="234" t="s">
        <v>181</v>
      </c>
      <c r="K9" s="234" t="s">
        <v>181</v>
      </c>
      <c r="L9" s="57"/>
      <c r="M9" s="87"/>
      <c r="N9" s="87"/>
      <c r="O9" s="87"/>
      <c r="P9" s="87"/>
      <c r="Q9" s="87"/>
      <c r="R9" s="87"/>
      <c r="S9" s="87"/>
    </row>
    <row r="10" spans="1:34" ht="195">
      <c r="A10" s="402"/>
      <c r="B10" s="390"/>
      <c r="C10" s="65" t="str">
        <f>'Step 1 - System Definition'!O9</f>
        <v>Rack Thermal Regulation</v>
      </c>
      <c r="D10" s="277" t="s">
        <v>182</v>
      </c>
      <c r="E10" s="274" t="s">
        <v>182</v>
      </c>
      <c r="F10" s="274" t="s">
        <v>182</v>
      </c>
      <c r="G10" s="274" t="s">
        <v>182</v>
      </c>
      <c r="H10" s="274" t="s">
        <v>182</v>
      </c>
      <c r="I10" s="274" t="s">
        <v>182</v>
      </c>
      <c r="J10" s="274" t="s">
        <v>182</v>
      </c>
      <c r="K10" s="274" t="s">
        <v>182</v>
      </c>
      <c r="L10" s="57"/>
      <c r="M10" s="87"/>
      <c r="N10" s="87"/>
      <c r="O10" s="87"/>
      <c r="P10" s="87"/>
      <c r="Q10" s="87"/>
      <c r="R10" s="87"/>
      <c r="S10" s="87"/>
    </row>
    <row r="11" spans="1:34" ht="195">
      <c r="A11" s="402"/>
      <c r="B11" s="390"/>
      <c r="C11" s="65" t="str">
        <f>'Step 1 - System Definition'!O10</f>
        <v>Container Thermal Regulation</v>
      </c>
      <c r="D11" s="277" t="s">
        <v>183</v>
      </c>
      <c r="E11" s="274" t="s">
        <v>183</v>
      </c>
      <c r="F11" s="274" t="s">
        <v>183</v>
      </c>
      <c r="G11" s="274" t="s">
        <v>183</v>
      </c>
      <c r="H11" s="274" t="s">
        <v>183</v>
      </c>
      <c r="I11" s="274" t="s">
        <v>183</v>
      </c>
      <c r="J11" s="274" t="s">
        <v>183</v>
      </c>
      <c r="K11" s="274" t="s">
        <v>183</v>
      </c>
      <c r="L11" s="57"/>
      <c r="M11" s="87"/>
      <c r="N11" s="87"/>
      <c r="O11" s="87"/>
      <c r="P11" s="87"/>
      <c r="Q11" s="87"/>
      <c r="R11" s="87"/>
      <c r="S11" s="87"/>
    </row>
    <row r="12" spans="1:34" ht="225.75" thickBot="1">
      <c r="A12" s="402"/>
      <c r="B12" s="391"/>
      <c r="C12" s="66" t="str">
        <f>'Step 1 - System Definition'!O11</f>
        <v>Fire Protection</v>
      </c>
      <c r="D12" s="278" t="s">
        <v>184</v>
      </c>
      <c r="E12" s="236" t="s">
        <v>184</v>
      </c>
      <c r="F12" s="236" t="s">
        <v>184</v>
      </c>
      <c r="G12" s="236" t="s">
        <v>184</v>
      </c>
      <c r="H12" s="236" t="s">
        <v>184</v>
      </c>
      <c r="I12" s="236" t="s">
        <v>184</v>
      </c>
      <c r="J12" s="236" t="s">
        <v>184</v>
      </c>
      <c r="K12" s="236" t="s">
        <v>184</v>
      </c>
      <c r="L12" s="57"/>
      <c r="M12" s="87"/>
      <c r="N12" s="87"/>
      <c r="O12" s="87"/>
      <c r="P12" s="87"/>
      <c r="Q12" s="87"/>
      <c r="R12" s="87"/>
      <c r="S12" s="87"/>
    </row>
    <row r="13" spans="1:34" ht="375.75" thickBot="1">
      <c r="A13" s="402"/>
      <c r="B13" s="42" t="s">
        <v>34</v>
      </c>
      <c r="C13" s="275" t="str">
        <f>'Step 1 - System Definition'!O12</f>
        <v>Inverter(s)</v>
      </c>
      <c r="D13" s="279" t="s">
        <v>186</v>
      </c>
      <c r="E13" s="281" t="s">
        <v>188</v>
      </c>
      <c r="F13" s="281" t="s">
        <v>185</v>
      </c>
      <c r="G13" s="281" t="s">
        <v>187</v>
      </c>
      <c r="H13" s="281" t="s">
        <v>189</v>
      </c>
      <c r="I13" s="281" t="s">
        <v>190</v>
      </c>
      <c r="J13" s="281" t="s">
        <v>191</v>
      </c>
      <c r="K13" s="281" t="s">
        <v>192</v>
      </c>
      <c r="L13" s="57"/>
      <c r="M13" s="87"/>
      <c r="N13" s="87"/>
      <c r="O13" s="87"/>
      <c r="P13" s="87"/>
      <c r="Q13" s="87"/>
      <c r="R13" s="87"/>
      <c r="S13" s="87"/>
    </row>
    <row r="14" spans="1:34" ht="285">
      <c r="A14" s="402"/>
      <c r="B14" s="398" t="s">
        <v>35</v>
      </c>
      <c r="C14" s="64" t="str">
        <f>'Step 1 - System Definition'!O13</f>
        <v>SCADA Server</v>
      </c>
      <c r="D14" s="276" t="s">
        <v>194</v>
      </c>
      <c r="E14" s="234" t="s">
        <v>195</v>
      </c>
      <c r="F14" s="234" t="s">
        <v>196</v>
      </c>
      <c r="G14" s="234" t="s">
        <v>197</v>
      </c>
      <c r="H14" s="234" t="s">
        <v>198</v>
      </c>
      <c r="I14" s="234" t="s">
        <v>199</v>
      </c>
      <c r="J14" s="234" t="s">
        <v>200</v>
      </c>
      <c r="K14" s="234" t="s">
        <v>201</v>
      </c>
      <c r="L14" s="57"/>
      <c r="M14" s="87"/>
      <c r="N14" s="87"/>
      <c r="O14" s="87"/>
      <c r="P14" s="87"/>
      <c r="Q14" s="87"/>
      <c r="R14" s="87"/>
      <c r="S14" s="87"/>
    </row>
    <row r="15" spans="1:34" ht="255.75" thickBot="1">
      <c r="A15" s="402"/>
      <c r="B15" s="399"/>
      <c r="C15" s="66" t="str">
        <f>'Step 1 - System Definition'!O14</f>
        <v>Local HMI</v>
      </c>
      <c r="D15" s="278" t="s">
        <v>202</v>
      </c>
      <c r="E15" s="236" t="s">
        <v>203</v>
      </c>
      <c r="F15" s="236" t="s">
        <v>204</v>
      </c>
      <c r="G15" s="236" t="s">
        <v>205</v>
      </c>
      <c r="H15" s="236" t="s">
        <v>206</v>
      </c>
      <c r="I15" s="236" t="s">
        <v>207</v>
      </c>
      <c r="J15" s="236" t="s">
        <v>208</v>
      </c>
      <c r="K15" s="236" t="s">
        <v>209</v>
      </c>
      <c r="L15" s="57"/>
      <c r="M15" s="87"/>
      <c r="N15" s="87"/>
      <c r="O15" s="87"/>
      <c r="P15" s="87"/>
      <c r="Q15" s="87"/>
      <c r="R15" s="87"/>
      <c r="S15" s="87"/>
    </row>
    <row r="16" spans="1:34" ht="300">
      <c r="A16" s="402"/>
      <c r="B16" s="398" t="s">
        <v>173</v>
      </c>
      <c r="C16" s="64" t="str">
        <f>'Step 1 - System Definition'!O15</f>
        <v>BESS Controller</v>
      </c>
      <c r="D16" s="234" t="s">
        <v>212</v>
      </c>
      <c r="E16" s="234" t="s">
        <v>213</v>
      </c>
      <c r="F16" s="234" t="s">
        <v>214</v>
      </c>
      <c r="G16" s="234" t="s">
        <v>215</v>
      </c>
      <c r="H16" s="234" t="s">
        <v>216</v>
      </c>
      <c r="I16" s="234" t="s">
        <v>217</v>
      </c>
      <c r="J16" s="234" t="s">
        <v>218</v>
      </c>
      <c r="K16" s="234" t="s">
        <v>219</v>
      </c>
      <c r="L16" s="57"/>
      <c r="M16" s="87"/>
      <c r="N16" s="87"/>
      <c r="O16" s="87"/>
      <c r="P16" s="87"/>
      <c r="Q16" s="87"/>
      <c r="R16" s="87"/>
      <c r="S16" s="87"/>
    </row>
    <row r="17" spans="1:19" ht="300">
      <c r="A17" s="402"/>
      <c r="B17" s="400"/>
      <c r="C17" s="65" t="str">
        <f>'Step 1 - System Definition'!O16</f>
        <v>Site Controller</v>
      </c>
      <c r="D17" s="235" t="s">
        <v>220</v>
      </c>
      <c r="E17" s="235" t="s">
        <v>221</v>
      </c>
      <c r="F17" s="235" t="s">
        <v>222</v>
      </c>
      <c r="G17" s="235" t="s">
        <v>223</v>
      </c>
      <c r="H17" s="235" t="s">
        <v>224</v>
      </c>
      <c r="I17" s="235" t="s">
        <v>225</v>
      </c>
      <c r="J17" s="235" t="s">
        <v>226</v>
      </c>
      <c r="K17" s="235" t="s">
        <v>227</v>
      </c>
      <c r="L17" s="57"/>
      <c r="M17" s="87"/>
      <c r="N17" s="87"/>
      <c r="O17" s="87"/>
      <c r="P17" s="87"/>
      <c r="Q17" s="87"/>
      <c r="R17" s="87"/>
      <c r="S17" s="87"/>
    </row>
    <row r="18" spans="1:19" ht="409.5">
      <c r="A18" s="402"/>
      <c r="B18" s="400"/>
      <c r="C18" s="65" t="str">
        <f>'Step 1 - System Definition'!O17</f>
        <v>Battery Meter(s)</v>
      </c>
      <c r="D18" s="235" t="s">
        <v>210</v>
      </c>
      <c r="E18" s="235" t="s">
        <v>210</v>
      </c>
      <c r="F18" s="235" t="s">
        <v>210</v>
      </c>
      <c r="G18" s="235" t="s">
        <v>210</v>
      </c>
      <c r="H18" s="235" t="s">
        <v>210</v>
      </c>
      <c r="I18" s="235" t="s">
        <v>210</v>
      </c>
      <c r="J18" s="235" t="s">
        <v>210</v>
      </c>
      <c r="K18" s="235" t="s">
        <v>210</v>
      </c>
      <c r="L18" s="57"/>
      <c r="M18" s="87"/>
      <c r="N18" s="87"/>
      <c r="O18" s="87"/>
      <c r="P18" s="87"/>
      <c r="Q18" s="87"/>
      <c r="R18" s="87"/>
      <c r="S18" s="87"/>
    </row>
    <row r="19" spans="1:19" ht="409.6" thickBot="1">
      <c r="A19" s="402"/>
      <c r="B19" s="399"/>
      <c r="C19" s="66" t="str">
        <f>'Step 1 - System Definition'!O18</f>
        <v>Site/Load Meter(s)</v>
      </c>
      <c r="D19" s="236" t="s">
        <v>211</v>
      </c>
      <c r="E19" s="236" t="s">
        <v>211</v>
      </c>
      <c r="F19" s="236" t="s">
        <v>211</v>
      </c>
      <c r="G19" s="236" t="s">
        <v>211</v>
      </c>
      <c r="H19" s="236" t="s">
        <v>211</v>
      </c>
      <c r="I19" s="236" t="s">
        <v>211</v>
      </c>
      <c r="J19" s="236" t="s">
        <v>211</v>
      </c>
      <c r="K19" s="236" t="s">
        <v>211</v>
      </c>
      <c r="L19" s="57"/>
      <c r="M19" s="87"/>
      <c r="N19" s="87"/>
      <c r="O19" s="87"/>
      <c r="P19" s="87"/>
      <c r="Q19" s="87"/>
      <c r="R19" s="87"/>
      <c r="S19" s="87"/>
    </row>
    <row r="20" spans="1:19" ht="240">
      <c r="A20" s="402"/>
      <c r="B20" s="398" t="s">
        <v>17</v>
      </c>
      <c r="C20" s="64" t="str">
        <f>'Step 1 - System Definition'!O19</f>
        <v>BESS Network Switch(s)</v>
      </c>
      <c r="D20" s="234" t="s">
        <v>228</v>
      </c>
      <c r="E20" s="276" t="s">
        <v>228</v>
      </c>
      <c r="F20" s="234" t="s">
        <v>228</v>
      </c>
      <c r="G20" s="234" t="s">
        <v>228</v>
      </c>
      <c r="H20" s="234" t="s">
        <v>228</v>
      </c>
      <c r="I20" s="276" t="s">
        <v>228</v>
      </c>
      <c r="J20" s="234" t="s">
        <v>228</v>
      </c>
      <c r="K20" s="234" t="s">
        <v>228</v>
      </c>
      <c r="L20" s="57"/>
      <c r="M20" s="87"/>
      <c r="N20" s="87"/>
      <c r="O20" s="87"/>
      <c r="P20" s="87"/>
      <c r="Q20" s="87"/>
      <c r="R20" s="87"/>
      <c r="S20" s="87"/>
    </row>
    <row r="21" spans="1:19" ht="285">
      <c r="A21" s="402"/>
      <c r="B21" s="400"/>
      <c r="C21" s="65" t="str">
        <f>'Step 1 - System Definition'!O20</f>
        <v>Site Network Switch(s)</v>
      </c>
      <c r="D21" s="274" t="s">
        <v>229</v>
      </c>
      <c r="E21" s="277" t="s">
        <v>229</v>
      </c>
      <c r="F21" s="274" t="s">
        <v>229</v>
      </c>
      <c r="G21" s="274" t="s">
        <v>229</v>
      </c>
      <c r="H21" s="274" t="s">
        <v>229</v>
      </c>
      <c r="I21" s="277" t="s">
        <v>229</v>
      </c>
      <c r="J21" s="274" t="s">
        <v>229</v>
      </c>
      <c r="K21" s="274" t="s">
        <v>229</v>
      </c>
      <c r="L21" s="57"/>
      <c r="M21" s="87"/>
      <c r="N21" s="87"/>
      <c r="O21" s="87"/>
      <c r="P21" s="87"/>
      <c r="Q21" s="87"/>
      <c r="R21" s="87"/>
      <c r="S21" s="87"/>
    </row>
    <row r="22" spans="1:19" ht="345">
      <c r="A22" s="402"/>
      <c r="B22" s="400"/>
      <c r="C22" s="65" t="str">
        <f>'Step 1 - System Definition'!O21</f>
        <v>Security Firewall(s)</v>
      </c>
      <c r="D22" s="235" t="s">
        <v>230</v>
      </c>
      <c r="E22" s="280" t="s">
        <v>230</v>
      </c>
      <c r="F22" s="235" t="s">
        <v>230</v>
      </c>
      <c r="G22" s="235" t="s">
        <v>230</v>
      </c>
      <c r="H22" s="235" t="s">
        <v>230</v>
      </c>
      <c r="I22" s="280" t="s">
        <v>230</v>
      </c>
      <c r="J22" s="235" t="s">
        <v>230</v>
      </c>
      <c r="K22" s="235" t="s">
        <v>230</v>
      </c>
      <c r="L22" s="57"/>
      <c r="M22" s="87"/>
      <c r="N22" s="87"/>
      <c r="O22" s="87"/>
      <c r="P22" s="87"/>
      <c r="Q22" s="87"/>
      <c r="R22" s="87"/>
      <c r="S22" s="87"/>
    </row>
    <row r="23" spans="1:19" ht="315">
      <c r="A23" s="402"/>
      <c r="B23" s="400"/>
      <c r="C23" s="65" t="str">
        <f>'Step 1 - System Definition'!O22</f>
        <v>Site Router(s)</v>
      </c>
      <c r="D23" s="235" t="s">
        <v>231</v>
      </c>
      <c r="E23" s="280" t="s">
        <v>231</v>
      </c>
      <c r="F23" s="235" t="s">
        <v>231</v>
      </c>
      <c r="G23" s="235" t="s">
        <v>231</v>
      </c>
      <c r="H23" s="235" t="s">
        <v>231</v>
      </c>
      <c r="I23" s="280" t="s">
        <v>231</v>
      </c>
      <c r="J23" s="235" t="s">
        <v>231</v>
      </c>
      <c r="K23" s="235" t="s">
        <v>231</v>
      </c>
      <c r="L23" s="57"/>
    </row>
    <row r="24" spans="1:19" ht="409.6" thickBot="1">
      <c r="A24" s="402"/>
      <c r="B24" s="399"/>
      <c r="C24" s="66" t="str">
        <f>'Step 1 - System Definition'!O23</f>
        <v>Cell Modem</v>
      </c>
      <c r="D24" s="236" t="s">
        <v>232</v>
      </c>
      <c r="E24" s="278" t="s">
        <v>232</v>
      </c>
      <c r="F24" s="236" t="s">
        <v>232</v>
      </c>
      <c r="G24" s="236" t="s">
        <v>232</v>
      </c>
      <c r="H24" s="236" t="s">
        <v>232</v>
      </c>
      <c r="I24" s="278" t="s">
        <v>232</v>
      </c>
      <c r="J24" s="236" t="s">
        <v>232</v>
      </c>
      <c r="K24" s="236" t="s">
        <v>232</v>
      </c>
      <c r="L24" s="57"/>
    </row>
    <row r="25" spans="1:19" ht="300" customHeight="1">
      <c r="A25" s="402"/>
      <c r="B25" s="398" t="s">
        <v>22</v>
      </c>
      <c r="C25" s="64" t="str">
        <f>'Step 1 - System Definition'!O24</f>
        <v>Fuses(s)</v>
      </c>
      <c r="D25" s="234" t="s">
        <v>233</v>
      </c>
      <c r="E25" s="234" t="s">
        <v>233</v>
      </c>
      <c r="F25" s="234" t="s">
        <v>233</v>
      </c>
      <c r="G25" s="234" t="s">
        <v>233</v>
      </c>
      <c r="H25" s="234" t="s">
        <v>233</v>
      </c>
      <c r="I25" s="234" t="s">
        <v>233</v>
      </c>
      <c r="J25" s="234" t="s">
        <v>233</v>
      </c>
      <c r="K25" s="234" t="s">
        <v>233</v>
      </c>
      <c r="L25" s="57"/>
    </row>
    <row r="26" spans="1:19" ht="330">
      <c r="A26" s="402"/>
      <c r="B26" s="400"/>
      <c r="C26" s="65" t="str">
        <f>'Step 1 - System Definition'!O25</f>
        <v>AC Circuit Breaker(s)</v>
      </c>
      <c r="D26" s="235" t="s">
        <v>234</v>
      </c>
      <c r="E26" s="235" t="s">
        <v>234</v>
      </c>
      <c r="F26" s="235" t="s">
        <v>234</v>
      </c>
      <c r="G26" s="235" t="s">
        <v>234</v>
      </c>
      <c r="H26" s="235" t="s">
        <v>234</v>
      </c>
      <c r="I26" s="235" t="s">
        <v>234</v>
      </c>
      <c r="J26" s="235" t="s">
        <v>234</v>
      </c>
      <c r="K26" s="235" t="s">
        <v>234</v>
      </c>
      <c r="L26" s="57"/>
    </row>
    <row r="27" spans="1:19" ht="255">
      <c r="A27" s="402"/>
      <c r="B27" s="400"/>
      <c r="C27" s="65" t="str">
        <f>'Step 1 - System Definition'!O26</f>
        <v>Control Power Transformer</v>
      </c>
      <c r="D27" s="235" t="s">
        <v>238</v>
      </c>
      <c r="E27" s="235" t="s">
        <v>238</v>
      </c>
      <c r="F27" s="235" t="s">
        <v>238</v>
      </c>
      <c r="G27" s="235" t="s">
        <v>238</v>
      </c>
      <c r="H27" s="235" t="s">
        <v>238</v>
      </c>
      <c r="I27" s="235" t="s">
        <v>238</v>
      </c>
      <c r="J27" s="235" t="s">
        <v>238</v>
      </c>
      <c r="K27" s="235" t="s">
        <v>238</v>
      </c>
      <c r="L27" s="57"/>
    </row>
    <row r="28" spans="1:19" ht="285">
      <c r="A28" s="402"/>
      <c r="B28" s="400"/>
      <c r="C28" s="65" t="str">
        <f>'Step 1 - System Definition'!O27</f>
        <v>Local Power Level Transformer</v>
      </c>
      <c r="D28" s="235" t="s">
        <v>239</v>
      </c>
      <c r="E28" s="235" t="s">
        <v>239</v>
      </c>
      <c r="F28" s="235" t="s">
        <v>239</v>
      </c>
      <c r="G28" s="235" t="s">
        <v>239</v>
      </c>
      <c r="H28" s="235" t="s">
        <v>239</v>
      </c>
      <c r="I28" s="235" t="s">
        <v>239</v>
      </c>
      <c r="J28" s="235" t="s">
        <v>239</v>
      </c>
      <c r="K28" s="235" t="s">
        <v>239</v>
      </c>
      <c r="L28" s="57"/>
    </row>
    <row r="29" spans="1:19" ht="210">
      <c r="A29" s="402"/>
      <c r="B29" s="400"/>
      <c r="C29" s="65" t="str">
        <f>'Step 1 - System Definition'!O28</f>
        <v>Utility Power Level Transformer</v>
      </c>
      <c r="D29" s="235" t="s">
        <v>237</v>
      </c>
      <c r="E29" s="235" t="s">
        <v>237</v>
      </c>
      <c r="F29" s="235" t="s">
        <v>237</v>
      </c>
      <c r="G29" s="235" t="s">
        <v>237</v>
      </c>
      <c r="H29" s="235" t="s">
        <v>237</v>
      </c>
      <c r="I29" s="235" t="s">
        <v>237</v>
      </c>
      <c r="J29" s="235" t="s">
        <v>237</v>
      </c>
      <c r="K29" s="235" t="s">
        <v>237</v>
      </c>
      <c r="L29" s="57"/>
    </row>
    <row r="30" spans="1:19" ht="390">
      <c r="A30" s="402"/>
      <c r="B30" s="400"/>
      <c r="C30" s="65" t="str">
        <f>'Step 1 - System Definition'!O29</f>
        <v>Local Power Level Switchgear</v>
      </c>
      <c r="D30" s="235" t="s">
        <v>236</v>
      </c>
      <c r="E30" s="235" t="s">
        <v>236</v>
      </c>
      <c r="F30" s="235" t="s">
        <v>236</v>
      </c>
      <c r="G30" s="235" t="s">
        <v>236</v>
      </c>
      <c r="H30" s="235" t="s">
        <v>236</v>
      </c>
      <c r="I30" s="235" t="s">
        <v>236</v>
      </c>
      <c r="J30" s="235" t="s">
        <v>236</v>
      </c>
      <c r="K30" s="235" t="s">
        <v>236</v>
      </c>
      <c r="L30" s="57"/>
    </row>
    <row r="31" spans="1:19" ht="330">
      <c r="A31" s="402"/>
      <c r="B31" s="400"/>
      <c r="C31" s="65" t="str">
        <f>'Step 1 - System Definition'!O30</f>
        <v>Utility Power Level Switchgear</v>
      </c>
      <c r="D31" s="235" t="s">
        <v>235</v>
      </c>
      <c r="E31" s="235" t="s">
        <v>235</v>
      </c>
      <c r="F31" s="235" t="s">
        <v>235</v>
      </c>
      <c r="G31" s="235" t="s">
        <v>235</v>
      </c>
      <c r="H31" s="235" t="s">
        <v>235</v>
      </c>
      <c r="I31" s="235" t="s">
        <v>235</v>
      </c>
      <c r="J31" s="235" t="s">
        <v>235</v>
      </c>
      <c r="K31" s="235" t="s">
        <v>235</v>
      </c>
      <c r="L31" s="57"/>
    </row>
    <row r="32" spans="1:19" ht="300" customHeight="1">
      <c r="A32" s="402"/>
      <c r="B32" s="400"/>
      <c r="C32" s="65" t="str">
        <f>'Step 1 - System Definition'!O31</f>
        <v>Recloser</v>
      </c>
      <c r="D32" s="235" t="s">
        <v>240</v>
      </c>
      <c r="E32" s="235" t="s">
        <v>240</v>
      </c>
      <c r="F32" s="235" t="s">
        <v>240</v>
      </c>
      <c r="G32" s="235" t="s">
        <v>240</v>
      </c>
      <c r="H32" s="235" t="s">
        <v>240</v>
      </c>
      <c r="I32" s="235" t="s">
        <v>240</v>
      </c>
      <c r="J32" s="235" t="s">
        <v>240</v>
      </c>
      <c r="K32" s="235" t="s">
        <v>240</v>
      </c>
      <c r="L32" s="57"/>
    </row>
    <row r="33" spans="1:12" ht="375.75" thickBot="1">
      <c r="A33" s="402"/>
      <c r="B33" s="399"/>
      <c r="C33" s="66" t="str">
        <f>'Step 1 - System Definition'!O32</f>
        <v>Protection Relay(s)</v>
      </c>
      <c r="D33" s="236" t="s">
        <v>241</v>
      </c>
      <c r="E33" s="236" t="s">
        <v>241</v>
      </c>
      <c r="F33" s="236" t="s">
        <v>241</v>
      </c>
      <c r="G33" s="236" t="s">
        <v>241</v>
      </c>
      <c r="H33" s="236" t="s">
        <v>241</v>
      </c>
      <c r="I33" s="236" t="s">
        <v>241</v>
      </c>
      <c r="J33" s="236" t="s">
        <v>241</v>
      </c>
      <c r="K33" s="236" t="s">
        <v>241</v>
      </c>
      <c r="L33" s="57"/>
    </row>
    <row r="34" spans="1:12" ht="409.5">
      <c r="A34" s="402"/>
      <c r="B34" s="398" t="s">
        <v>365</v>
      </c>
      <c r="C34" s="64" t="str">
        <f>'Step 1 - System Definition'!O33</f>
        <v>Generation Meter</v>
      </c>
      <c r="D34" s="276" t="s">
        <v>363</v>
      </c>
      <c r="E34" s="276" t="s">
        <v>363</v>
      </c>
      <c r="F34" s="276" t="s">
        <v>363</v>
      </c>
      <c r="G34" s="276" t="s">
        <v>363</v>
      </c>
      <c r="H34" s="276" t="s">
        <v>363</v>
      </c>
      <c r="I34" s="276" t="s">
        <v>363</v>
      </c>
      <c r="J34" s="276" t="s">
        <v>363</v>
      </c>
      <c r="K34" s="276" t="s">
        <v>363</v>
      </c>
      <c r="L34" s="8"/>
    </row>
    <row r="35" spans="1:12" ht="409.5">
      <c r="A35" s="402"/>
      <c r="B35" s="400"/>
      <c r="C35" s="65" t="str">
        <f>'Step 1 - System Definition'!O34</f>
        <v>Revenue-Grade Meter</v>
      </c>
      <c r="D35" s="280" t="s">
        <v>364</v>
      </c>
      <c r="E35" s="280" t="s">
        <v>364</v>
      </c>
      <c r="F35" s="280" t="s">
        <v>364</v>
      </c>
      <c r="G35" s="280" t="s">
        <v>364</v>
      </c>
      <c r="H35" s="280" t="s">
        <v>364</v>
      </c>
      <c r="I35" s="280" t="s">
        <v>364</v>
      </c>
      <c r="J35" s="280" t="s">
        <v>364</v>
      </c>
      <c r="K35" s="280" t="s">
        <v>364</v>
      </c>
    </row>
    <row r="36" spans="1:12">
      <c r="A36" s="402"/>
      <c r="B36" s="400"/>
      <c r="C36" s="65" t="str">
        <f>'Step 1 - System Definition'!O35</f>
        <v>Other Energy Source #1</v>
      </c>
      <c r="D36" s="280"/>
      <c r="E36" s="280"/>
      <c r="F36" s="280"/>
      <c r="G36" s="280"/>
      <c r="H36" s="280"/>
      <c r="I36" s="280"/>
      <c r="J36" s="280"/>
      <c r="K36" s="280"/>
    </row>
    <row r="37" spans="1:12" ht="15.75" thickBot="1">
      <c r="A37" s="402"/>
      <c r="B37" s="399"/>
      <c r="C37" s="66" t="str">
        <f>'Step 1 - System Definition'!O36</f>
        <v>Other Energy Source #2</v>
      </c>
      <c r="D37" s="278"/>
      <c r="E37" s="278"/>
      <c r="F37" s="278"/>
      <c r="G37" s="278"/>
      <c r="H37" s="278"/>
      <c r="I37" s="278"/>
      <c r="J37" s="278"/>
      <c r="K37" s="278"/>
    </row>
  </sheetData>
  <mergeCells count="13">
    <mergeCell ref="B2:C2"/>
    <mergeCell ref="D1:K1"/>
    <mergeCell ref="L1:L2"/>
    <mergeCell ref="M3:S6"/>
    <mergeCell ref="B34:B37"/>
    <mergeCell ref="A3:A37"/>
    <mergeCell ref="B3:B5"/>
    <mergeCell ref="B6:B8"/>
    <mergeCell ref="B9:B12"/>
    <mergeCell ref="B14:B15"/>
    <mergeCell ref="B16:B19"/>
    <mergeCell ref="B20:B24"/>
    <mergeCell ref="B25:B33"/>
  </mergeCells>
  <conditionalFormatting sqref="D3:K33">
    <cfRule type="containsText" dxfId="165" priority="7" operator="containsText" text="TRUE">
      <formula>NOT(ISERROR(SEARCH("TRUE",D3)))</formula>
    </cfRule>
    <cfRule type="containsText" dxfId="164" priority="8" operator="containsText" text="FALSE">
      <formula>NOT(ISERROR(SEARCH("FALSE",D3)))</formula>
    </cfRule>
  </conditionalFormatting>
  <conditionalFormatting sqref="D36:K37">
    <cfRule type="containsText" dxfId="163" priority="5" operator="containsText" text="TRUE">
      <formula>NOT(ISERROR(SEARCH("TRUE",D36)))</formula>
    </cfRule>
    <cfRule type="containsText" dxfId="162" priority="6" operator="containsText" text="FALSE">
      <formula>NOT(ISERROR(SEARCH("FALSE",D36)))</formula>
    </cfRule>
  </conditionalFormatting>
  <conditionalFormatting sqref="D34:K34">
    <cfRule type="containsText" dxfId="161" priority="3" operator="containsText" text="TRUE">
      <formula>NOT(ISERROR(SEARCH("TRUE",D34)))</formula>
    </cfRule>
    <cfRule type="containsText" dxfId="160" priority="4" operator="containsText" text="FALSE">
      <formula>NOT(ISERROR(SEARCH("FALSE",D34)))</formula>
    </cfRule>
  </conditionalFormatting>
  <conditionalFormatting sqref="D35:K35">
    <cfRule type="containsText" dxfId="159" priority="1" operator="containsText" text="TRUE">
      <formula>NOT(ISERROR(SEARCH("TRUE",D35)))</formula>
    </cfRule>
    <cfRule type="containsText" dxfId="158" priority="2" operator="containsText" text="FALSE">
      <formula>NOT(ISERROR(SEARCH("FALSE",D35)))</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2366B-6AA4-4F20-9C94-681FB532A67D}">
  <sheetPr codeName="Sheet5"/>
  <dimension ref="A1:T83"/>
  <sheetViews>
    <sheetView workbookViewId="0">
      <pane xSplit="2" ySplit="2" topLeftCell="C3" activePane="bottomRight" state="frozen"/>
      <selection pane="topRight" activeCell="C1" sqref="C1"/>
      <selection pane="bottomLeft" activeCell="A3" sqref="A3"/>
      <selection pane="bottomRight" activeCell="C5" sqref="C5"/>
    </sheetView>
  </sheetViews>
  <sheetFormatPr defaultRowHeight="15"/>
  <cols>
    <col min="1" max="1" width="16" style="1" customWidth="1"/>
    <col min="2" max="2" width="12.85546875" style="1" bestFit="1" customWidth="1"/>
    <col min="3" max="3" width="93.140625" style="1" customWidth="1"/>
    <col min="4" max="4" width="11.42578125" style="1" customWidth="1"/>
    <col min="5" max="5" width="9" style="1" customWidth="1"/>
    <col min="6" max="6" width="11.85546875" style="1" customWidth="1"/>
    <col min="7" max="7" width="10.5703125" style="1" customWidth="1"/>
    <col min="8" max="11" width="9.140625" style="1" customWidth="1"/>
    <col min="12" max="12" width="11.7109375" style="1" customWidth="1"/>
    <col min="13" max="13" width="13" style="1" customWidth="1"/>
    <col min="14" max="16384" width="9.140625" style="1"/>
  </cols>
  <sheetData>
    <row r="1" spans="1:20" ht="15.75" thickBot="1">
      <c r="A1" s="414" t="s">
        <v>45</v>
      </c>
      <c r="B1" s="413" t="s">
        <v>47</v>
      </c>
      <c r="C1" s="409" t="s">
        <v>64</v>
      </c>
      <c r="D1" s="411" t="s">
        <v>46</v>
      </c>
      <c r="E1" s="411"/>
      <c r="F1" s="411"/>
      <c r="G1" s="411"/>
      <c r="H1" s="411"/>
      <c r="I1" s="411"/>
      <c r="J1" s="411"/>
      <c r="K1" s="412"/>
      <c r="L1" s="409" t="s">
        <v>70</v>
      </c>
    </row>
    <row r="2" spans="1:20" ht="45.75" thickBot="1">
      <c r="A2" s="415"/>
      <c r="B2" s="338"/>
      <c r="C2" s="410"/>
      <c r="D2" s="27" t="s">
        <v>36</v>
      </c>
      <c r="E2" s="28" t="s">
        <v>37</v>
      </c>
      <c r="F2" s="29" t="s">
        <v>38</v>
      </c>
      <c r="G2" s="28" t="s">
        <v>39</v>
      </c>
      <c r="H2" s="29" t="s">
        <v>40</v>
      </c>
      <c r="I2" s="28" t="s">
        <v>41</v>
      </c>
      <c r="J2" s="29" t="s">
        <v>42</v>
      </c>
      <c r="K2" s="29" t="s">
        <v>43</v>
      </c>
      <c r="L2" s="410"/>
      <c r="N2" s="67" t="s">
        <v>171</v>
      </c>
    </row>
    <row r="3" spans="1:20" ht="30" customHeight="1">
      <c r="A3" s="406" t="s">
        <v>71</v>
      </c>
      <c r="B3" s="90" t="s">
        <v>65</v>
      </c>
      <c r="C3" s="96" t="s">
        <v>76</v>
      </c>
      <c r="D3" s="72" t="b">
        <v>0</v>
      </c>
      <c r="E3" s="19" t="b">
        <v>0</v>
      </c>
      <c r="F3" s="19" t="b">
        <v>0</v>
      </c>
      <c r="G3" s="19" t="b">
        <v>0</v>
      </c>
      <c r="H3" s="19" t="b">
        <v>0</v>
      </c>
      <c r="I3" s="19" t="b">
        <v>0</v>
      </c>
      <c r="J3" s="19" t="b">
        <v>0</v>
      </c>
      <c r="K3" s="20" t="b">
        <v>0</v>
      </c>
      <c r="L3" s="74" t="b">
        <v>0</v>
      </c>
      <c r="N3" s="367" t="s">
        <v>280</v>
      </c>
      <c r="O3" s="368"/>
      <c r="P3" s="368"/>
      <c r="Q3" s="368"/>
      <c r="R3" s="368"/>
      <c r="S3" s="368"/>
      <c r="T3" s="369"/>
    </row>
    <row r="4" spans="1:20" ht="30" customHeight="1">
      <c r="A4" s="407"/>
      <c r="B4" s="91" t="s">
        <v>66</v>
      </c>
      <c r="C4" s="95" t="s">
        <v>77</v>
      </c>
      <c r="D4" s="21" t="b">
        <v>0</v>
      </c>
      <c r="E4" s="22" t="b">
        <v>0</v>
      </c>
      <c r="F4" s="22" t="b">
        <v>0</v>
      </c>
      <c r="G4" s="22" t="b">
        <v>0</v>
      </c>
      <c r="H4" s="22" t="b">
        <v>0</v>
      </c>
      <c r="I4" s="22" t="b">
        <v>0</v>
      </c>
      <c r="J4" s="22" t="b">
        <v>0</v>
      </c>
      <c r="K4" s="23" t="b">
        <v>0</v>
      </c>
      <c r="L4" s="75" t="b">
        <v>0</v>
      </c>
      <c r="N4" s="370"/>
      <c r="O4" s="371"/>
      <c r="P4" s="371"/>
      <c r="Q4" s="371"/>
      <c r="R4" s="371"/>
      <c r="S4" s="371"/>
      <c r="T4" s="372"/>
    </row>
    <row r="5" spans="1:20" ht="45" customHeight="1">
      <c r="A5" s="407"/>
      <c r="B5" s="92" t="s">
        <v>67</v>
      </c>
      <c r="C5" s="95" t="s">
        <v>78</v>
      </c>
      <c r="D5" s="21" t="b">
        <v>0</v>
      </c>
      <c r="E5" s="22" t="b">
        <v>0</v>
      </c>
      <c r="F5" s="22" t="b">
        <v>0</v>
      </c>
      <c r="G5" s="22" t="b">
        <v>0</v>
      </c>
      <c r="H5" s="22" t="b">
        <v>0</v>
      </c>
      <c r="I5" s="22" t="b">
        <v>0</v>
      </c>
      <c r="J5" s="22" t="b">
        <v>0</v>
      </c>
      <c r="K5" s="23" t="b">
        <v>0</v>
      </c>
      <c r="L5" s="75" t="b">
        <v>0</v>
      </c>
      <c r="N5" s="370"/>
      <c r="O5" s="371"/>
      <c r="P5" s="371"/>
      <c r="Q5" s="371"/>
      <c r="R5" s="371"/>
      <c r="S5" s="371"/>
      <c r="T5" s="372"/>
    </row>
    <row r="6" spans="1:20" ht="60">
      <c r="A6" s="407"/>
      <c r="B6" s="93" t="s">
        <v>68</v>
      </c>
      <c r="C6" s="95" t="s">
        <v>79</v>
      </c>
      <c r="D6" s="21" t="b">
        <v>0</v>
      </c>
      <c r="E6" s="73" t="b">
        <v>0</v>
      </c>
      <c r="F6" s="22" t="b">
        <v>0</v>
      </c>
      <c r="G6" s="22" t="b">
        <v>0</v>
      </c>
      <c r="H6" s="22" t="b">
        <v>0</v>
      </c>
      <c r="I6" s="22" t="b">
        <v>0</v>
      </c>
      <c r="J6" s="22" t="b">
        <v>0</v>
      </c>
      <c r="K6" s="23" t="b">
        <v>0</v>
      </c>
      <c r="L6" s="75" t="b">
        <v>0</v>
      </c>
      <c r="N6" s="370"/>
      <c r="O6" s="371"/>
      <c r="P6" s="371"/>
      <c r="Q6" s="371"/>
      <c r="R6" s="371"/>
      <c r="S6" s="371"/>
      <c r="T6" s="372"/>
    </row>
    <row r="7" spans="1:20" ht="62.25" customHeight="1" thickBot="1">
      <c r="A7" s="408"/>
      <c r="B7" s="94" t="s">
        <v>69</v>
      </c>
      <c r="C7" s="97" t="s">
        <v>80</v>
      </c>
      <c r="D7" s="24" t="b">
        <v>0</v>
      </c>
      <c r="E7" s="25" t="b">
        <v>0</v>
      </c>
      <c r="F7" s="25" t="b">
        <v>0</v>
      </c>
      <c r="G7" s="25" t="b">
        <v>0</v>
      </c>
      <c r="H7" s="25" t="b">
        <v>0</v>
      </c>
      <c r="I7" s="25" t="b">
        <v>0</v>
      </c>
      <c r="J7" s="25" t="b">
        <v>0</v>
      </c>
      <c r="K7" s="26" t="b">
        <v>0</v>
      </c>
      <c r="L7" s="76" t="b">
        <v>0</v>
      </c>
      <c r="N7" s="370"/>
      <c r="O7" s="371"/>
      <c r="P7" s="371"/>
      <c r="Q7" s="371"/>
      <c r="R7" s="371"/>
      <c r="S7" s="371"/>
      <c r="T7" s="372"/>
    </row>
    <row r="8" spans="1:20" ht="60">
      <c r="A8" s="406" t="s">
        <v>72</v>
      </c>
      <c r="B8" s="90" t="s">
        <v>65</v>
      </c>
      <c r="C8" s="96" t="s">
        <v>96</v>
      </c>
      <c r="D8" s="18" t="b">
        <v>0</v>
      </c>
      <c r="E8" s="19" t="b">
        <v>0</v>
      </c>
      <c r="F8" s="19" t="b">
        <v>0</v>
      </c>
      <c r="G8" s="19" t="b">
        <v>0</v>
      </c>
      <c r="H8" s="19" t="b">
        <v>0</v>
      </c>
      <c r="I8" s="19" t="b">
        <v>0</v>
      </c>
      <c r="J8" s="19" t="b">
        <v>0</v>
      </c>
      <c r="K8" s="20" t="b">
        <v>0</v>
      </c>
      <c r="L8" s="74" t="b">
        <v>0</v>
      </c>
      <c r="N8" s="370"/>
      <c r="O8" s="371"/>
      <c r="P8" s="371"/>
      <c r="Q8" s="371"/>
      <c r="R8" s="371"/>
      <c r="S8" s="371"/>
      <c r="T8" s="372"/>
    </row>
    <row r="9" spans="1:20" ht="44.25" customHeight="1">
      <c r="A9" s="407"/>
      <c r="B9" s="91" t="s">
        <v>66</v>
      </c>
      <c r="C9" s="95" t="s">
        <v>97</v>
      </c>
      <c r="D9" s="21" t="b">
        <v>0</v>
      </c>
      <c r="E9" s="22" t="b">
        <v>0</v>
      </c>
      <c r="F9" s="22" t="b">
        <v>0</v>
      </c>
      <c r="G9" s="22" t="b">
        <v>0</v>
      </c>
      <c r="H9" s="22" t="b">
        <v>0</v>
      </c>
      <c r="I9" s="22" t="b">
        <v>0</v>
      </c>
      <c r="J9" s="22" t="b">
        <v>0</v>
      </c>
      <c r="K9" s="23" t="b">
        <v>0</v>
      </c>
      <c r="L9" s="75" t="b">
        <v>0</v>
      </c>
      <c r="N9" s="370"/>
      <c r="O9" s="371"/>
      <c r="P9" s="371"/>
      <c r="Q9" s="371"/>
      <c r="R9" s="371"/>
      <c r="S9" s="371"/>
      <c r="T9" s="372"/>
    </row>
    <row r="10" spans="1:20" ht="45">
      <c r="A10" s="407"/>
      <c r="B10" s="92" t="s">
        <v>67</v>
      </c>
      <c r="C10" s="95" t="s">
        <v>98</v>
      </c>
      <c r="D10" s="21" t="b">
        <v>0</v>
      </c>
      <c r="E10" s="22" t="b">
        <v>0</v>
      </c>
      <c r="F10" s="22" t="b">
        <v>0</v>
      </c>
      <c r="G10" s="22" t="b">
        <v>0</v>
      </c>
      <c r="H10" s="22" t="b">
        <v>0</v>
      </c>
      <c r="I10" s="22" t="b">
        <v>0</v>
      </c>
      <c r="J10" s="22" t="b">
        <v>0</v>
      </c>
      <c r="K10" s="23" t="b">
        <v>0</v>
      </c>
      <c r="L10" s="75" t="b">
        <v>0</v>
      </c>
      <c r="N10" s="370"/>
      <c r="O10" s="371"/>
      <c r="P10" s="371"/>
      <c r="Q10" s="371"/>
      <c r="R10" s="371"/>
      <c r="S10" s="371"/>
      <c r="T10" s="372"/>
    </row>
    <row r="11" spans="1:20" ht="60">
      <c r="A11" s="407"/>
      <c r="B11" s="93" t="s">
        <v>68</v>
      </c>
      <c r="C11" s="95" t="s">
        <v>99</v>
      </c>
      <c r="D11" s="21" t="b">
        <v>0</v>
      </c>
      <c r="E11" s="22" t="b">
        <v>0</v>
      </c>
      <c r="F11" s="22" t="b">
        <v>0</v>
      </c>
      <c r="G11" s="22" t="b">
        <v>0</v>
      </c>
      <c r="H11" s="22" t="b">
        <v>0</v>
      </c>
      <c r="I11" s="22" t="b">
        <v>0</v>
      </c>
      <c r="J11" s="22" t="b">
        <v>0</v>
      </c>
      <c r="K11" s="23" t="b">
        <v>0</v>
      </c>
      <c r="L11" s="75" t="b">
        <v>0</v>
      </c>
      <c r="N11" s="370"/>
      <c r="O11" s="371"/>
      <c r="P11" s="371"/>
      <c r="Q11" s="371"/>
      <c r="R11" s="371"/>
      <c r="S11" s="371"/>
      <c r="T11" s="372"/>
    </row>
    <row r="12" spans="1:20" ht="75.75" thickBot="1">
      <c r="A12" s="408"/>
      <c r="B12" s="94" t="s">
        <v>69</v>
      </c>
      <c r="C12" s="97" t="s">
        <v>100</v>
      </c>
      <c r="D12" s="24" t="b">
        <v>0</v>
      </c>
      <c r="E12" s="25" t="b">
        <v>0</v>
      </c>
      <c r="F12" s="25" t="b">
        <v>0</v>
      </c>
      <c r="G12" s="25" t="b">
        <v>0</v>
      </c>
      <c r="H12" s="25" t="b">
        <v>0</v>
      </c>
      <c r="I12" s="25" t="b">
        <v>0</v>
      </c>
      <c r="J12" s="25" t="b">
        <v>0</v>
      </c>
      <c r="K12" s="26" t="b">
        <v>0</v>
      </c>
      <c r="L12" s="76" t="b">
        <v>0</v>
      </c>
      <c r="N12" s="370"/>
      <c r="O12" s="371"/>
      <c r="P12" s="371"/>
      <c r="Q12" s="371"/>
      <c r="R12" s="371"/>
      <c r="S12" s="371"/>
      <c r="T12" s="372"/>
    </row>
    <row r="13" spans="1:20" ht="30">
      <c r="A13" s="406" t="s">
        <v>269</v>
      </c>
      <c r="B13" s="90" t="s">
        <v>65</v>
      </c>
      <c r="C13" s="96" t="s">
        <v>270</v>
      </c>
      <c r="D13" s="18" t="b">
        <v>0</v>
      </c>
      <c r="E13" s="19" t="b">
        <v>0</v>
      </c>
      <c r="F13" s="19" t="b">
        <v>0</v>
      </c>
      <c r="G13" s="19" t="b">
        <v>0</v>
      </c>
      <c r="H13" s="19" t="b">
        <v>0</v>
      </c>
      <c r="I13" s="19" t="b">
        <v>0</v>
      </c>
      <c r="J13" s="19" t="b">
        <v>0</v>
      </c>
      <c r="K13" s="20" t="b">
        <v>0</v>
      </c>
      <c r="L13" s="74" t="b">
        <v>0</v>
      </c>
      <c r="N13" s="370"/>
      <c r="O13" s="371"/>
      <c r="P13" s="371"/>
      <c r="Q13" s="371"/>
      <c r="R13" s="371"/>
      <c r="S13" s="371"/>
      <c r="T13" s="372"/>
    </row>
    <row r="14" spans="1:20" ht="30">
      <c r="A14" s="407"/>
      <c r="B14" s="91" t="s">
        <v>66</v>
      </c>
      <c r="C14" s="95" t="s">
        <v>271</v>
      </c>
      <c r="D14" s="21" t="b">
        <v>0</v>
      </c>
      <c r="E14" s="22" t="b">
        <v>0</v>
      </c>
      <c r="F14" s="22" t="b">
        <v>0</v>
      </c>
      <c r="G14" s="22" t="b">
        <v>0</v>
      </c>
      <c r="H14" s="22" t="b">
        <v>0</v>
      </c>
      <c r="I14" s="22" t="b">
        <v>0</v>
      </c>
      <c r="J14" s="22" t="b">
        <v>0</v>
      </c>
      <c r="K14" s="23" t="b">
        <v>0</v>
      </c>
      <c r="L14" s="75" t="b">
        <v>0</v>
      </c>
      <c r="N14" s="370"/>
      <c r="O14" s="371"/>
      <c r="P14" s="371"/>
      <c r="Q14" s="371"/>
      <c r="R14" s="371"/>
      <c r="S14" s="371"/>
      <c r="T14" s="372"/>
    </row>
    <row r="15" spans="1:20" ht="30.75" thickBot="1">
      <c r="A15" s="407"/>
      <c r="B15" s="92" t="s">
        <v>67</v>
      </c>
      <c r="C15" s="95" t="s">
        <v>272</v>
      </c>
      <c r="D15" s="21" t="b">
        <v>0</v>
      </c>
      <c r="E15" s="22" t="b">
        <v>0</v>
      </c>
      <c r="F15" s="22" t="b">
        <v>0</v>
      </c>
      <c r="G15" s="22" t="b">
        <v>0</v>
      </c>
      <c r="H15" s="22" t="b">
        <v>0</v>
      </c>
      <c r="I15" s="22" t="b">
        <v>0</v>
      </c>
      <c r="J15" s="22" t="b">
        <v>0</v>
      </c>
      <c r="K15" s="23" t="b">
        <v>0</v>
      </c>
      <c r="L15" s="75" t="b">
        <v>0</v>
      </c>
      <c r="N15" s="373"/>
      <c r="O15" s="374"/>
      <c r="P15" s="374"/>
      <c r="Q15" s="374"/>
      <c r="R15" s="374"/>
      <c r="S15" s="374"/>
      <c r="T15" s="375"/>
    </row>
    <row r="16" spans="1:20" ht="30">
      <c r="A16" s="407"/>
      <c r="B16" s="93" t="s">
        <v>68</v>
      </c>
      <c r="C16" s="95" t="s">
        <v>273</v>
      </c>
      <c r="D16" s="21" t="b">
        <v>0</v>
      </c>
      <c r="E16" s="22" t="b">
        <v>0</v>
      </c>
      <c r="F16" s="22" t="b">
        <v>0</v>
      </c>
      <c r="G16" s="22" t="b">
        <v>0</v>
      </c>
      <c r="H16" s="22" t="b">
        <v>0</v>
      </c>
      <c r="I16" s="22" t="b">
        <v>0</v>
      </c>
      <c r="J16" s="22" t="b">
        <v>0</v>
      </c>
      <c r="K16" s="23" t="b">
        <v>0</v>
      </c>
      <c r="L16" s="75" t="b">
        <v>0</v>
      </c>
    </row>
    <row r="17" spans="1:12" ht="30.75" thickBot="1">
      <c r="A17" s="408"/>
      <c r="B17" s="94" t="s">
        <v>69</v>
      </c>
      <c r="C17" s="97" t="s">
        <v>274</v>
      </c>
      <c r="D17" s="24" t="b">
        <v>0</v>
      </c>
      <c r="E17" s="25" t="b">
        <v>0</v>
      </c>
      <c r="F17" s="25" t="b">
        <v>0</v>
      </c>
      <c r="G17" s="25" t="b">
        <v>0</v>
      </c>
      <c r="H17" s="25" t="b">
        <v>0</v>
      </c>
      <c r="I17" s="25" t="b">
        <v>0</v>
      </c>
      <c r="J17" s="25" t="b">
        <v>0</v>
      </c>
      <c r="K17" s="26" t="b">
        <v>0</v>
      </c>
      <c r="L17" s="76" t="b">
        <v>0</v>
      </c>
    </row>
    <row r="18" spans="1:12" ht="45">
      <c r="A18" s="406" t="s">
        <v>73</v>
      </c>
      <c r="B18" s="90" t="s">
        <v>65</v>
      </c>
      <c r="C18" s="96" t="s">
        <v>86</v>
      </c>
      <c r="D18" s="18" t="b">
        <v>0</v>
      </c>
      <c r="E18" s="19" t="b">
        <v>0</v>
      </c>
      <c r="F18" s="19" t="b">
        <v>0</v>
      </c>
      <c r="G18" s="19" t="b">
        <v>0</v>
      </c>
      <c r="H18" s="19" t="b">
        <v>0</v>
      </c>
      <c r="I18" s="19" t="b">
        <v>0</v>
      </c>
      <c r="J18" s="19" t="b">
        <v>0</v>
      </c>
      <c r="K18" s="20" t="b">
        <v>0</v>
      </c>
      <c r="L18" s="74" t="b">
        <v>0</v>
      </c>
    </row>
    <row r="19" spans="1:12" ht="45">
      <c r="A19" s="407"/>
      <c r="B19" s="91" t="s">
        <v>66</v>
      </c>
      <c r="C19" s="95" t="s">
        <v>87</v>
      </c>
      <c r="D19" s="21" t="b">
        <v>0</v>
      </c>
      <c r="E19" s="22" t="b">
        <v>0</v>
      </c>
      <c r="F19" s="22" t="b">
        <v>0</v>
      </c>
      <c r="G19" s="22" t="b">
        <v>0</v>
      </c>
      <c r="H19" s="22" t="b">
        <v>0</v>
      </c>
      <c r="I19" s="22" t="b">
        <v>0</v>
      </c>
      <c r="J19" s="22" t="b">
        <v>0</v>
      </c>
      <c r="K19" s="23" t="b">
        <v>0</v>
      </c>
      <c r="L19" s="75" t="b">
        <v>0</v>
      </c>
    </row>
    <row r="20" spans="1:12" ht="46.5" customHeight="1">
      <c r="A20" s="407"/>
      <c r="B20" s="92" t="s">
        <v>67</v>
      </c>
      <c r="C20" s="95" t="s">
        <v>88</v>
      </c>
      <c r="D20" s="21" t="b">
        <v>0</v>
      </c>
      <c r="E20" s="22" t="b">
        <v>0</v>
      </c>
      <c r="F20" s="22" t="b">
        <v>0</v>
      </c>
      <c r="G20" s="22" t="b">
        <v>0</v>
      </c>
      <c r="H20" s="22" t="b">
        <v>0</v>
      </c>
      <c r="I20" s="22" t="b">
        <v>0</v>
      </c>
      <c r="J20" s="22" t="b">
        <v>0</v>
      </c>
      <c r="K20" s="23" t="b">
        <v>0</v>
      </c>
      <c r="L20" s="75" t="b">
        <v>0</v>
      </c>
    </row>
    <row r="21" spans="1:12" ht="60">
      <c r="A21" s="407"/>
      <c r="B21" s="93" t="s">
        <v>68</v>
      </c>
      <c r="C21" s="95" t="s">
        <v>89</v>
      </c>
      <c r="D21" s="21" t="b">
        <v>0</v>
      </c>
      <c r="E21" s="22" t="b">
        <v>0</v>
      </c>
      <c r="F21" s="22" t="b">
        <v>0</v>
      </c>
      <c r="G21" s="22" t="b">
        <v>0</v>
      </c>
      <c r="H21" s="22" t="b">
        <v>0</v>
      </c>
      <c r="I21" s="22" t="b">
        <v>0</v>
      </c>
      <c r="J21" s="22" t="b">
        <v>0</v>
      </c>
      <c r="K21" s="23" t="b">
        <v>0</v>
      </c>
      <c r="L21" s="75" t="b">
        <v>0</v>
      </c>
    </row>
    <row r="22" spans="1:12" ht="75.75" thickBot="1">
      <c r="A22" s="408"/>
      <c r="B22" s="94" t="s">
        <v>69</v>
      </c>
      <c r="C22" s="97" t="s">
        <v>90</v>
      </c>
      <c r="D22" s="24" t="b">
        <v>0</v>
      </c>
      <c r="E22" s="25" t="b">
        <v>0</v>
      </c>
      <c r="F22" s="25" t="b">
        <v>0</v>
      </c>
      <c r="G22" s="25" t="b">
        <v>0</v>
      </c>
      <c r="H22" s="25" t="b">
        <v>0</v>
      </c>
      <c r="I22" s="25" t="b">
        <v>0</v>
      </c>
      <c r="J22" s="25" t="b">
        <v>0</v>
      </c>
      <c r="K22" s="26" t="b">
        <v>0</v>
      </c>
      <c r="L22" s="76" t="b">
        <v>0</v>
      </c>
    </row>
    <row r="23" spans="1:12" ht="45">
      <c r="A23" s="406" t="s">
        <v>74</v>
      </c>
      <c r="B23" s="90" t="s">
        <v>65</v>
      </c>
      <c r="C23" s="96" t="s">
        <v>81</v>
      </c>
      <c r="D23" s="18" t="b">
        <v>0</v>
      </c>
      <c r="E23" s="19" t="b">
        <v>0</v>
      </c>
      <c r="F23" s="19" t="b">
        <v>0</v>
      </c>
      <c r="G23" s="19" t="b">
        <v>0</v>
      </c>
      <c r="H23" s="19" t="b">
        <v>0</v>
      </c>
      <c r="I23" s="19" t="b">
        <v>0</v>
      </c>
      <c r="J23" s="19" t="b">
        <v>0</v>
      </c>
      <c r="K23" s="20" t="b">
        <v>0</v>
      </c>
      <c r="L23" s="74" t="b">
        <v>0</v>
      </c>
    </row>
    <row r="24" spans="1:12" ht="45">
      <c r="A24" s="407"/>
      <c r="B24" s="91" t="s">
        <v>66</v>
      </c>
      <c r="C24" s="95" t="s">
        <v>82</v>
      </c>
      <c r="D24" s="21" t="b">
        <v>0</v>
      </c>
      <c r="E24" s="22" t="b">
        <v>0</v>
      </c>
      <c r="F24" s="22" t="b">
        <v>0</v>
      </c>
      <c r="G24" s="22" t="b">
        <v>0</v>
      </c>
      <c r="H24" s="22" t="b">
        <v>0</v>
      </c>
      <c r="I24" s="22" t="b">
        <v>0</v>
      </c>
      <c r="J24" s="22" t="b">
        <v>0</v>
      </c>
      <c r="K24" s="23" t="b">
        <v>0</v>
      </c>
      <c r="L24" s="75" t="b">
        <v>0</v>
      </c>
    </row>
    <row r="25" spans="1:12" ht="45">
      <c r="A25" s="407"/>
      <c r="B25" s="92" t="s">
        <v>67</v>
      </c>
      <c r="C25" s="95" t="s">
        <v>83</v>
      </c>
      <c r="D25" s="21" t="b">
        <v>0</v>
      </c>
      <c r="E25" s="22" t="b">
        <v>0</v>
      </c>
      <c r="F25" s="22" t="b">
        <v>0</v>
      </c>
      <c r="G25" s="22" t="b">
        <v>0</v>
      </c>
      <c r="H25" s="22" t="b">
        <v>0</v>
      </c>
      <c r="I25" s="22" t="b">
        <v>0</v>
      </c>
      <c r="J25" s="22" t="b">
        <v>0</v>
      </c>
      <c r="K25" s="23" t="b">
        <v>0</v>
      </c>
      <c r="L25" s="75" t="b">
        <v>0</v>
      </c>
    </row>
    <row r="26" spans="1:12" ht="60">
      <c r="A26" s="407"/>
      <c r="B26" s="93" t="s">
        <v>68</v>
      </c>
      <c r="C26" s="95" t="s">
        <v>84</v>
      </c>
      <c r="D26" s="21" t="b">
        <v>0</v>
      </c>
      <c r="E26" s="22" t="b">
        <v>0</v>
      </c>
      <c r="F26" s="22" t="b">
        <v>0</v>
      </c>
      <c r="G26" s="22" t="b">
        <v>0</v>
      </c>
      <c r="H26" s="22" t="b">
        <v>0</v>
      </c>
      <c r="I26" s="22" t="b">
        <v>0</v>
      </c>
      <c r="J26" s="22" t="b">
        <v>0</v>
      </c>
      <c r="K26" s="23" t="b">
        <v>0</v>
      </c>
      <c r="L26" s="75" t="b">
        <v>0</v>
      </c>
    </row>
    <row r="27" spans="1:12" ht="75.75" thickBot="1">
      <c r="A27" s="408"/>
      <c r="B27" s="94" t="s">
        <v>69</v>
      </c>
      <c r="C27" s="97" t="s">
        <v>85</v>
      </c>
      <c r="D27" s="24" t="b">
        <v>0</v>
      </c>
      <c r="E27" s="25" t="b">
        <v>0</v>
      </c>
      <c r="F27" s="25" t="b">
        <v>0</v>
      </c>
      <c r="G27" s="25" t="b">
        <v>0</v>
      </c>
      <c r="H27" s="25" t="b">
        <v>0</v>
      </c>
      <c r="I27" s="25" t="b">
        <v>0</v>
      </c>
      <c r="J27" s="25" t="b">
        <v>0</v>
      </c>
      <c r="K27" s="26" t="b">
        <v>0</v>
      </c>
      <c r="L27" s="76" t="b">
        <v>0</v>
      </c>
    </row>
    <row r="28" spans="1:12" ht="60">
      <c r="A28" s="406" t="s">
        <v>75</v>
      </c>
      <c r="B28" s="90" t="s">
        <v>65</v>
      </c>
      <c r="C28" s="96" t="s">
        <v>91</v>
      </c>
      <c r="D28" s="18" t="b">
        <v>0</v>
      </c>
      <c r="E28" s="19" t="b">
        <v>0</v>
      </c>
      <c r="F28" s="19" t="b">
        <v>0</v>
      </c>
      <c r="G28" s="19" t="b">
        <v>0</v>
      </c>
      <c r="H28" s="19" t="b">
        <v>0</v>
      </c>
      <c r="I28" s="19" t="b">
        <v>0</v>
      </c>
      <c r="J28" s="19" t="b">
        <v>0</v>
      </c>
      <c r="K28" s="20" t="b">
        <v>0</v>
      </c>
      <c r="L28" s="74" t="b">
        <v>0</v>
      </c>
    </row>
    <row r="29" spans="1:12" ht="45" customHeight="1">
      <c r="A29" s="407"/>
      <c r="B29" s="91" t="s">
        <v>66</v>
      </c>
      <c r="C29" s="95" t="s">
        <v>92</v>
      </c>
      <c r="D29" s="21" t="b">
        <v>0</v>
      </c>
      <c r="E29" s="22" t="b">
        <v>0</v>
      </c>
      <c r="F29" s="22" t="b">
        <v>0</v>
      </c>
      <c r="G29" s="22" t="b">
        <v>0</v>
      </c>
      <c r="H29" s="22" t="b">
        <v>0</v>
      </c>
      <c r="I29" s="22" t="b">
        <v>0</v>
      </c>
      <c r="J29" s="22" t="b">
        <v>0</v>
      </c>
      <c r="K29" s="23" t="b">
        <v>0</v>
      </c>
      <c r="L29" s="75" t="b">
        <v>0</v>
      </c>
    </row>
    <row r="30" spans="1:12" ht="44.25" customHeight="1">
      <c r="A30" s="407"/>
      <c r="B30" s="92" t="s">
        <v>67</v>
      </c>
      <c r="C30" s="95" t="s">
        <v>93</v>
      </c>
      <c r="D30" s="21" t="b">
        <v>0</v>
      </c>
      <c r="E30" s="22" t="b">
        <v>0</v>
      </c>
      <c r="F30" s="22" t="b">
        <v>0</v>
      </c>
      <c r="G30" s="22" t="b">
        <v>0</v>
      </c>
      <c r="H30" s="22" t="b">
        <v>0</v>
      </c>
      <c r="I30" s="22" t="b">
        <v>0</v>
      </c>
      <c r="J30" s="22" t="b">
        <v>0</v>
      </c>
      <c r="K30" s="23" t="b">
        <v>0</v>
      </c>
      <c r="L30" s="75" t="b">
        <v>0</v>
      </c>
    </row>
    <row r="31" spans="1:12" ht="60">
      <c r="A31" s="407"/>
      <c r="B31" s="93" t="s">
        <v>68</v>
      </c>
      <c r="C31" s="95" t="s">
        <v>94</v>
      </c>
      <c r="D31" s="21" t="b">
        <v>0</v>
      </c>
      <c r="E31" s="22" t="b">
        <v>0</v>
      </c>
      <c r="F31" s="22" t="b">
        <v>0</v>
      </c>
      <c r="G31" s="22" t="b">
        <v>0</v>
      </c>
      <c r="H31" s="22" t="b">
        <v>0</v>
      </c>
      <c r="I31" s="22" t="b">
        <v>0</v>
      </c>
      <c r="J31" s="22" t="b">
        <v>0</v>
      </c>
      <c r="K31" s="23" t="b">
        <v>0</v>
      </c>
      <c r="L31" s="75" t="b">
        <v>0</v>
      </c>
    </row>
    <row r="32" spans="1:12" ht="75.75" thickBot="1">
      <c r="A32" s="408"/>
      <c r="B32" s="94" t="s">
        <v>69</v>
      </c>
      <c r="C32" s="97" t="s">
        <v>95</v>
      </c>
      <c r="D32" s="24" t="b">
        <v>0</v>
      </c>
      <c r="E32" s="25" t="b">
        <v>0</v>
      </c>
      <c r="F32" s="25" t="b">
        <v>0</v>
      </c>
      <c r="G32" s="25" t="b">
        <v>0</v>
      </c>
      <c r="H32" s="25" t="b">
        <v>0</v>
      </c>
      <c r="I32" s="25" t="b">
        <v>0</v>
      </c>
      <c r="J32" s="25" t="b">
        <v>0</v>
      </c>
      <c r="K32" s="26" t="b">
        <v>0</v>
      </c>
      <c r="L32" s="76" t="b">
        <v>0</v>
      </c>
    </row>
    <row r="33" spans="1:12" ht="45">
      <c r="A33" s="406" t="s">
        <v>279</v>
      </c>
      <c r="B33" s="90" t="s">
        <v>65</v>
      </c>
      <c r="C33" s="96" t="s">
        <v>259</v>
      </c>
      <c r="D33" s="18" t="b">
        <v>0</v>
      </c>
      <c r="E33" s="19" t="b">
        <v>0</v>
      </c>
      <c r="F33" s="19" t="b">
        <v>0</v>
      </c>
      <c r="G33" s="19" t="b">
        <v>0</v>
      </c>
      <c r="H33" s="19" t="b">
        <v>0</v>
      </c>
      <c r="I33" s="19" t="b">
        <v>0</v>
      </c>
      <c r="J33" s="19" t="b">
        <v>0</v>
      </c>
      <c r="K33" s="20" t="b">
        <v>0</v>
      </c>
      <c r="L33" s="74" t="b">
        <v>0</v>
      </c>
    </row>
    <row r="34" spans="1:12" ht="45">
      <c r="A34" s="407"/>
      <c r="B34" s="91" t="s">
        <v>66</v>
      </c>
      <c r="C34" s="95" t="s">
        <v>260</v>
      </c>
      <c r="D34" s="21" t="b">
        <v>0</v>
      </c>
      <c r="E34" s="22" t="b">
        <v>0</v>
      </c>
      <c r="F34" s="22" t="b">
        <v>0</v>
      </c>
      <c r="G34" s="22" t="b">
        <v>0</v>
      </c>
      <c r="H34" s="22" t="b">
        <v>0</v>
      </c>
      <c r="I34" s="22" t="b">
        <v>0</v>
      </c>
      <c r="J34" s="22" t="b">
        <v>0</v>
      </c>
      <c r="K34" s="23" t="b">
        <v>0</v>
      </c>
      <c r="L34" s="75" t="b">
        <v>0</v>
      </c>
    </row>
    <row r="35" spans="1:12" ht="60">
      <c r="A35" s="407"/>
      <c r="B35" s="92" t="s">
        <v>67</v>
      </c>
      <c r="C35" s="95" t="s">
        <v>261</v>
      </c>
      <c r="D35" s="21" t="b">
        <v>0</v>
      </c>
      <c r="E35" s="22" t="b">
        <v>0</v>
      </c>
      <c r="F35" s="22" t="b">
        <v>0</v>
      </c>
      <c r="G35" s="22" t="b">
        <v>0</v>
      </c>
      <c r="H35" s="22" t="b">
        <v>0</v>
      </c>
      <c r="I35" s="22" t="b">
        <v>0</v>
      </c>
      <c r="J35" s="22" t="b">
        <v>0</v>
      </c>
      <c r="K35" s="23" t="b">
        <v>0</v>
      </c>
      <c r="L35" s="75" t="b">
        <v>0</v>
      </c>
    </row>
    <row r="36" spans="1:12" ht="60.75" customHeight="1">
      <c r="A36" s="407"/>
      <c r="B36" s="93" t="s">
        <v>68</v>
      </c>
      <c r="C36" s="95" t="s">
        <v>262</v>
      </c>
      <c r="D36" s="21" t="b">
        <v>0</v>
      </c>
      <c r="E36" s="22" t="b">
        <v>0</v>
      </c>
      <c r="F36" s="22" t="b">
        <v>0</v>
      </c>
      <c r="G36" s="22" t="b">
        <v>0</v>
      </c>
      <c r="H36" s="22" t="b">
        <v>0</v>
      </c>
      <c r="I36" s="22" t="b">
        <v>0</v>
      </c>
      <c r="J36" s="22" t="b">
        <v>0</v>
      </c>
      <c r="K36" s="23" t="b">
        <v>0</v>
      </c>
      <c r="L36" s="75" t="b">
        <v>0</v>
      </c>
    </row>
    <row r="37" spans="1:12" ht="90.75" thickBot="1">
      <c r="A37" s="408"/>
      <c r="B37" s="94" t="s">
        <v>69</v>
      </c>
      <c r="C37" s="97" t="s">
        <v>263</v>
      </c>
      <c r="D37" s="24" t="b">
        <v>0</v>
      </c>
      <c r="E37" s="25" t="b">
        <v>0</v>
      </c>
      <c r="F37" s="25" t="b">
        <v>0</v>
      </c>
      <c r="G37" s="25" t="b">
        <v>0</v>
      </c>
      <c r="H37" s="25" t="b">
        <v>0</v>
      </c>
      <c r="I37" s="25" t="b">
        <v>0</v>
      </c>
      <c r="J37" s="25" t="b">
        <v>0</v>
      </c>
      <c r="K37" s="26" t="b">
        <v>0</v>
      </c>
      <c r="L37" s="76" t="b">
        <v>0</v>
      </c>
    </row>
    <row r="38" spans="1:12" ht="45">
      <c r="A38" s="406" t="s">
        <v>258</v>
      </c>
      <c r="B38" s="90" t="s">
        <v>65</v>
      </c>
      <c r="C38" s="96" t="s">
        <v>264</v>
      </c>
      <c r="D38" s="18" t="b">
        <v>0</v>
      </c>
      <c r="E38" s="19" t="b">
        <v>0</v>
      </c>
      <c r="F38" s="19" t="b">
        <v>0</v>
      </c>
      <c r="G38" s="19" t="b">
        <v>0</v>
      </c>
      <c r="H38" s="19" t="b">
        <v>0</v>
      </c>
      <c r="I38" s="19" t="b">
        <v>0</v>
      </c>
      <c r="J38" s="19" t="b">
        <v>0</v>
      </c>
      <c r="K38" s="20" t="b">
        <v>0</v>
      </c>
      <c r="L38" s="74" t="b">
        <v>0</v>
      </c>
    </row>
    <row r="39" spans="1:12" ht="45">
      <c r="A39" s="407"/>
      <c r="B39" s="91" t="s">
        <v>66</v>
      </c>
      <c r="C39" s="95" t="s">
        <v>265</v>
      </c>
      <c r="D39" s="21" t="b">
        <v>0</v>
      </c>
      <c r="E39" s="22" t="b">
        <v>0</v>
      </c>
      <c r="F39" s="22" t="b">
        <v>0</v>
      </c>
      <c r="G39" s="22" t="b">
        <v>0</v>
      </c>
      <c r="H39" s="22" t="b">
        <v>0</v>
      </c>
      <c r="I39" s="22" t="b">
        <v>0</v>
      </c>
      <c r="J39" s="22" t="b">
        <v>0</v>
      </c>
      <c r="K39" s="23" t="b">
        <v>0</v>
      </c>
      <c r="L39" s="75" t="b">
        <v>0</v>
      </c>
    </row>
    <row r="40" spans="1:12" ht="60">
      <c r="A40" s="407"/>
      <c r="B40" s="92" t="s">
        <v>67</v>
      </c>
      <c r="C40" s="95" t="s">
        <v>266</v>
      </c>
      <c r="D40" s="21" t="b">
        <v>0</v>
      </c>
      <c r="E40" s="22" t="b">
        <v>0</v>
      </c>
      <c r="F40" s="22" t="b">
        <v>0</v>
      </c>
      <c r="G40" s="22" t="b">
        <v>0</v>
      </c>
      <c r="H40" s="22" t="b">
        <v>0</v>
      </c>
      <c r="I40" s="22" t="b">
        <v>0</v>
      </c>
      <c r="J40" s="22" t="b">
        <v>0</v>
      </c>
      <c r="K40" s="23" t="b">
        <v>0</v>
      </c>
      <c r="L40" s="75" t="b">
        <v>0</v>
      </c>
    </row>
    <row r="41" spans="1:12" ht="76.5" customHeight="1">
      <c r="A41" s="407"/>
      <c r="B41" s="93" t="s">
        <v>68</v>
      </c>
      <c r="C41" s="95" t="s">
        <v>267</v>
      </c>
      <c r="D41" s="21" t="b">
        <v>0</v>
      </c>
      <c r="E41" s="22" t="b">
        <v>0</v>
      </c>
      <c r="F41" s="22" t="b">
        <v>0</v>
      </c>
      <c r="G41" s="22" t="b">
        <v>0</v>
      </c>
      <c r="H41" s="22" t="b">
        <v>0</v>
      </c>
      <c r="I41" s="22" t="b">
        <v>0</v>
      </c>
      <c r="J41" s="22" t="b">
        <v>0</v>
      </c>
      <c r="K41" s="23" t="b">
        <v>0</v>
      </c>
      <c r="L41" s="75" t="b">
        <v>0</v>
      </c>
    </row>
    <row r="42" spans="1:12" ht="90.75" thickBot="1">
      <c r="A42" s="408"/>
      <c r="B42" s="94" t="s">
        <v>69</v>
      </c>
      <c r="C42" s="97" t="s">
        <v>268</v>
      </c>
      <c r="D42" s="24" t="b">
        <v>0</v>
      </c>
      <c r="E42" s="25" t="b">
        <v>0</v>
      </c>
      <c r="F42" s="25" t="b">
        <v>0</v>
      </c>
      <c r="G42" s="25" t="b">
        <v>0</v>
      </c>
      <c r="H42" s="25" t="b">
        <v>0</v>
      </c>
      <c r="I42" s="25" t="b">
        <v>0</v>
      </c>
      <c r="J42" s="25" t="b">
        <v>0</v>
      </c>
      <c r="K42" s="26" t="b">
        <v>0</v>
      </c>
      <c r="L42" s="76" t="b">
        <v>0</v>
      </c>
    </row>
    <row r="43" spans="1:12">
      <c r="B43" s="89"/>
    </row>
    <row r="44" spans="1:12">
      <c r="B44" s="89"/>
    </row>
    <row r="45" spans="1:12">
      <c r="B45" s="89"/>
    </row>
    <row r="46" spans="1:12">
      <c r="B46" s="89"/>
    </row>
    <row r="47" spans="1:12">
      <c r="B47" s="89"/>
    </row>
    <row r="48" spans="1:12">
      <c r="B48" s="89"/>
    </row>
    <row r="54" spans="1:3">
      <c r="A54" s="405"/>
      <c r="B54" s="89"/>
      <c r="C54" s="17"/>
    </row>
    <row r="55" spans="1:3">
      <c r="A55" s="405"/>
      <c r="B55" s="89"/>
      <c r="C55" s="17"/>
    </row>
    <row r="56" spans="1:3">
      <c r="A56" s="405"/>
      <c r="B56" s="89"/>
      <c r="C56" s="17"/>
    </row>
    <row r="57" spans="1:3">
      <c r="A57" s="405"/>
      <c r="B57" s="89"/>
      <c r="C57" s="17"/>
    </row>
    <row r="58" spans="1:3">
      <c r="A58" s="405"/>
      <c r="B58" s="89"/>
      <c r="C58" s="17"/>
    </row>
    <row r="64" spans="1:3">
      <c r="A64" s="405"/>
      <c r="B64" s="89"/>
      <c r="C64" s="17"/>
    </row>
    <row r="65" spans="1:3">
      <c r="A65" s="405"/>
      <c r="B65" s="89"/>
      <c r="C65" s="17"/>
    </row>
    <row r="66" spans="1:3">
      <c r="A66" s="405"/>
      <c r="B66" s="89"/>
      <c r="C66" s="17"/>
    </row>
    <row r="67" spans="1:3">
      <c r="A67" s="405"/>
      <c r="B67" s="89"/>
      <c r="C67" s="17"/>
    </row>
    <row r="68" spans="1:3">
      <c r="A68" s="405"/>
      <c r="B68" s="89"/>
      <c r="C68" s="17"/>
    </row>
    <row r="69" spans="1:3">
      <c r="A69" s="405"/>
      <c r="B69" s="89"/>
      <c r="C69" s="17"/>
    </row>
    <row r="70" spans="1:3">
      <c r="A70" s="405"/>
      <c r="B70" s="89"/>
      <c r="C70" s="17"/>
    </row>
    <row r="71" spans="1:3">
      <c r="A71" s="405"/>
      <c r="B71" s="89"/>
      <c r="C71" s="17"/>
    </row>
    <row r="72" spans="1:3">
      <c r="A72" s="405"/>
      <c r="B72" s="89"/>
      <c r="C72" s="17"/>
    </row>
    <row r="73" spans="1:3">
      <c r="A73" s="405"/>
      <c r="B73" s="89"/>
      <c r="C73" s="17"/>
    </row>
    <row r="74" spans="1:3">
      <c r="A74" s="405"/>
      <c r="B74" s="89"/>
      <c r="C74" s="17"/>
    </row>
    <row r="75" spans="1:3">
      <c r="A75" s="405"/>
      <c r="B75" s="89"/>
      <c r="C75" s="17"/>
    </row>
    <row r="76" spans="1:3">
      <c r="A76" s="405"/>
      <c r="B76" s="89"/>
      <c r="C76" s="17"/>
    </row>
    <row r="77" spans="1:3">
      <c r="A77" s="405"/>
      <c r="B77" s="89"/>
      <c r="C77" s="17"/>
    </row>
    <row r="78" spans="1:3">
      <c r="A78" s="405"/>
      <c r="B78" s="89"/>
      <c r="C78" s="17"/>
    </row>
    <row r="79" spans="1:3">
      <c r="A79" s="405"/>
      <c r="B79" s="89"/>
      <c r="C79" s="17"/>
    </row>
    <row r="80" spans="1:3">
      <c r="A80" s="405"/>
      <c r="B80" s="89"/>
      <c r="C80" s="17"/>
    </row>
    <row r="81" spans="1:3">
      <c r="A81" s="405"/>
      <c r="B81" s="89"/>
      <c r="C81" s="17"/>
    </row>
    <row r="82" spans="1:3">
      <c r="A82" s="405"/>
      <c r="B82" s="89"/>
      <c r="C82" s="17"/>
    </row>
    <row r="83" spans="1:3">
      <c r="A83" s="405"/>
      <c r="B83" s="89"/>
      <c r="C83" s="17"/>
    </row>
  </sheetData>
  <mergeCells count="19">
    <mergeCell ref="N3:T15"/>
    <mergeCell ref="A33:A37"/>
    <mergeCell ref="A38:A42"/>
    <mergeCell ref="L1:L2"/>
    <mergeCell ref="A8:A12"/>
    <mergeCell ref="A18:A22"/>
    <mergeCell ref="D1:K1"/>
    <mergeCell ref="B1:B2"/>
    <mergeCell ref="A1:A2"/>
    <mergeCell ref="C1:C2"/>
    <mergeCell ref="A3:A7"/>
    <mergeCell ref="A74:A78"/>
    <mergeCell ref="A79:A83"/>
    <mergeCell ref="A28:A32"/>
    <mergeCell ref="A13:A17"/>
    <mergeCell ref="A64:A68"/>
    <mergeCell ref="A69:A73"/>
    <mergeCell ref="A54:A58"/>
    <mergeCell ref="A23:A27"/>
  </mergeCells>
  <conditionalFormatting sqref="D3:K3">
    <cfRule type="expression" dxfId="157" priority="58">
      <formula>$L3</formula>
    </cfRule>
  </conditionalFormatting>
  <conditionalFormatting sqref="D4:K4">
    <cfRule type="expression" dxfId="156" priority="59">
      <formula>$L4</formula>
    </cfRule>
  </conditionalFormatting>
  <conditionalFormatting sqref="D16:K16">
    <cfRule type="expression" dxfId="155" priority="56">
      <formula>$L16</formula>
    </cfRule>
  </conditionalFormatting>
  <conditionalFormatting sqref="D17:K17">
    <cfRule type="expression" dxfId="154" priority="57">
      <formula>$L17</formula>
    </cfRule>
  </conditionalFormatting>
  <conditionalFormatting sqref="D5:K5">
    <cfRule type="expression" dxfId="153" priority="60">
      <formula>$L5</formula>
    </cfRule>
  </conditionalFormatting>
  <conditionalFormatting sqref="D6:K6">
    <cfRule type="expression" dxfId="152" priority="61">
      <formula>$L6</formula>
    </cfRule>
  </conditionalFormatting>
  <conditionalFormatting sqref="D7:K7">
    <cfRule type="expression" dxfId="151" priority="62">
      <formula>$L7</formula>
    </cfRule>
  </conditionalFormatting>
  <conditionalFormatting sqref="D8:K8">
    <cfRule type="expression" dxfId="150" priority="63">
      <formula>$L8</formula>
    </cfRule>
  </conditionalFormatting>
  <conditionalFormatting sqref="D9:K9">
    <cfRule type="expression" dxfId="149" priority="64">
      <formula>$L9</formula>
    </cfRule>
  </conditionalFormatting>
  <conditionalFormatting sqref="D10:K10">
    <cfRule type="expression" dxfId="148" priority="65">
      <formula>$L10</formula>
    </cfRule>
  </conditionalFormatting>
  <conditionalFormatting sqref="D11:K11">
    <cfRule type="expression" dxfId="147" priority="66">
      <formula>$L11</formula>
    </cfRule>
  </conditionalFormatting>
  <conditionalFormatting sqref="D12:K12">
    <cfRule type="expression" dxfId="146" priority="67">
      <formula>$L12</formula>
    </cfRule>
  </conditionalFormatting>
  <conditionalFormatting sqref="D13:K13">
    <cfRule type="expression" dxfId="145" priority="68">
      <formula>$L13</formula>
    </cfRule>
  </conditionalFormatting>
  <conditionalFormatting sqref="D14:K14">
    <cfRule type="expression" dxfId="144" priority="69">
      <formula>$L14</formula>
    </cfRule>
  </conditionalFormatting>
  <conditionalFormatting sqref="D15:K15">
    <cfRule type="expression" dxfId="143" priority="70">
      <formula>$L15</formula>
    </cfRule>
  </conditionalFormatting>
  <conditionalFormatting sqref="D4:L4 D9:L9 D14:L14">
    <cfRule type="containsText" dxfId="142" priority="55" operator="containsText" text="TRUE">
      <formula>NOT(ISERROR(SEARCH("TRUE",D4)))</formula>
    </cfRule>
  </conditionalFormatting>
  <conditionalFormatting sqref="D3:L3 D8:L8 D13:L13">
    <cfRule type="containsText" dxfId="141" priority="54" operator="containsText" text="TRUE">
      <formula>NOT(ISERROR(SEARCH("TRUE",D3)))</formula>
    </cfRule>
  </conditionalFormatting>
  <conditionalFormatting sqref="D5:L5 D10:L10 D15:L15">
    <cfRule type="containsText" dxfId="140" priority="51" operator="containsText" text="TRUE">
      <formula>NOT(ISERROR(SEARCH("TRUE",D5)))</formula>
    </cfRule>
  </conditionalFormatting>
  <conditionalFormatting sqref="D6:L6 D11:L11 D16:L16">
    <cfRule type="containsText" dxfId="139" priority="52" operator="containsText" text="TRUE">
      <formula>NOT(ISERROR(SEARCH("TRUE",D6)))</formula>
    </cfRule>
  </conditionalFormatting>
  <conditionalFormatting sqref="D7:L7 D12:L12 D17:L17">
    <cfRule type="containsText" dxfId="138" priority="53" operator="containsText" text="TRUE">
      <formula>NOT(ISERROR(SEARCH("TRUE",D7)))</formula>
    </cfRule>
  </conditionalFormatting>
  <conditionalFormatting sqref="D21:K21">
    <cfRule type="expression" dxfId="137" priority="46">
      <formula>$L21</formula>
    </cfRule>
  </conditionalFormatting>
  <conditionalFormatting sqref="D22:K22">
    <cfRule type="expression" dxfId="136" priority="47">
      <formula>$L22</formula>
    </cfRule>
  </conditionalFormatting>
  <conditionalFormatting sqref="D18:K18">
    <cfRule type="expression" dxfId="135" priority="48">
      <formula>$L18</formula>
    </cfRule>
  </conditionalFormatting>
  <conditionalFormatting sqref="D19:K19">
    <cfRule type="expression" dxfId="134" priority="49">
      <formula>$L19</formula>
    </cfRule>
  </conditionalFormatting>
  <conditionalFormatting sqref="D20:K20">
    <cfRule type="expression" dxfId="133" priority="50">
      <formula>$L20</formula>
    </cfRule>
  </conditionalFormatting>
  <conditionalFormatting sqref="D19:L19">
    <cfRule type="containsText" dxfId="132" priority="45" operator="containsText" text="TRUE">
      <formula>NOT(ISERROR(SEARCH("TRUE",D19)))</formula>
    </cfRule>
  </conditionalFormatting>
  <conditionalFormatting sqref="D18:L18">
    <cfRule type="containsText" dxfId="131" priority="44" operator="containsText" text="TRUE">
      <formula>NOT(ISERROR(SEARCH("TRUE",D18)))</formula>
    </cfRule>
  </conditionalFormatting>
  <conditionalFormatting sqref="D20:L20">
    <cfRule type="containsText" dxfId="130" priority="41" operator="containsText" text="TRUE">
      <formula>NOT(ISERROR(SEARCH("TRUE",D20)))</formula>
    </cfRule>
  </conditionalFormatting>
  <conditionalFormatting sqref="D21:L21">
    <cfRule type="containsText" dxfId="129" priority="42" operator="containsText" text="TRUE">
      <formula>NOT(ISERROR(SEARCH("TRUE",D21)))</formula>
    </cfRule>
  </conditionalFormatting>
  <conditionalFormatting sqref="D22:L22">
    <cfRule type="containsText" dxfId="128" priority="43" operator="containsText" text="TRUE">
      <formula>NOT(ISERROR(SEARCH("TRUE",D22)))</formula>
    </cfRule>
  </conditionalFormatting>
  <conditionalFormatting sqref="D26:K26">
    <cfRule type="expression" dxfId="127" priority="36">
      <formula>$L26</formula>
    </cfRule>
  </conditionalFormatting>
  <conditionalFormatting sqref="D27:K27">
    <cfRule type="expression" dxfId="126" priority="37">
      <formula>$L27</formula>
    </cfRule>
  </conditionalFormatting>
  <conditionalFormatting sqref="D23:K23">
    <cfRule type="expression" dxfId="125" priority="38">
      <formula>$L23</formula>
    </cfRule>
  </conditionalFormatting>
  <conditionalFormatting sqref="D24:K24">
    <cfRule type="expression" dxfId="124" priority="39">
      <formula>$L24</formula>
    </cfRule>
  </conditionalFormatting>
  <conditionalFormatting sqref="D25:K25">
    <cfRule type="expression" dxfId="123" priority="40">
      <formula>$L25</formula>
    </cfRule>
  </conditionalFormatting>
  <conditionalFormatting sqref="D24:L24">
    <cfRule type="containsText" dxfId="122" priority="35" operator="containsText" text="TRUE">
      <formula>NOT(ISERROR(SEARCH("TRUE",D24)))</formula>
    </cfRule>
  </conditionalFormatting>
  <conditionalFormatting sqref="D23:L23">
    <cfRule type="containsText" dxfId="121" priority="34" operator="containsText" text="TRUE">
      <formula>NOT(ISERROR(SEARCH("TRUE",D23)))</formula>
    </cfRule>
  </conditionalFormatting>
  <conditionalFormatting sqref="D25:L25">
    <cfRule type="containsText" dxfId="120" priority="31" operator="containsText" text="TRUE">
      <formula>NOT(ISERROR(SEARCH("TRUE",D25)))</formula>
    </cfRule>
  </conditionalFormatting>
  <conditionalFormatting sqref="D26:L26">
    <cfRule type="containsText" dxfId="119" priority="32" operator="containsText" text="TRUE">
      <formula>NOT(ISERROR(SEARCH("TRUE",D26)))</formula>
    </cfRule>
  </conditionalFormatting>
  <conditionalFormatting sqref="D27:L27">
    <cfRule type="containsText" dxfId="118" priority="33" operator="containsText" text="TRUE">
      <formula>NOT(ISERROR(SEARCH("TRUE",D27)))</formula>
    </cfRule>
  </conditionalFormatting>
  <conditionalFormatting sqref="D31:K31">
    <cfRule type="expression" dxfId="117" priority="26">
      <formula>$L31</formula>
    </cfRule>
  </conditionalFormatting>
  <conditionalFormatting sqref="D32:K32">
    <cfRule type="expression" dxfId="116" priority="27">
      <formula>$L32</formula>
    </cfRule>
  </conditionalFormatting>
  <conditionalFormatting sqref="D28:K28">
    <cfRule type="expression" dxfId="115" priority="28">
      <formula>$L28</formula>
    </cfRule>
  </conditionalFormatting>
  <conditionalFormatting sqref="D29:K29">
    <cfRule type="expression" dxfId="114" priority="29">
      <formula>$L29</formula>
    </cfRule>
  </conditionalFormatting>
  <conditionalFormatting sqref="D30:K30">
    <cfRule type="expression" dxfId="113" priority="30">
      <formula>$L30</formula>
    </cfRule>
  </conditionalFormatting>
  <conditionalFormatting sqref="D29:L29">
    <cfRule type="containsText" dxfId="112" priority="25" operator="containsText" text="TRUE">
      <formula>NOT(ISERROR(SEARCH("TRUE",D29)))</formula>
    </cfRule>
  </conditionalFormatting>
  <conditionalFormatting sqref="D28:L28">
    <cfRule type="containsText" dxfId="111" priority="24" operator="containsText" text="TRUE">
      <formula>NOT(ISERROR(SEARCH("TRUE",D28)))</formula>
    </cfRule>
  </conditionalFormatting>
  <conditionalFormatting sqref="D30:L30">
    <cfRule type="containsText" dxfId="110" priority="21" operator="containsText" text="TRUE">
      <formula>NOT(ISERROR(SEARCH("TRUE",D30)))</formula>
    </cfRule>
  </conditionalFormatting>
  <conditionalFormatting sqref="D31:L31">
    <cfRule type="containsText" dxfId="109" priority="22" operator="containsText" text="TRUE">
      <formula>NOT(ISERROR(SEARCH("TRUE",D31)))</formula>
    </cfRule>
  </conditionalFormatting>
  <conditionalFormatting sqref="D32:L32">
    <cfRule type="containsText" dxfId="108" priority="23" operator="containsText" text="TRUE">
      <formula>NOT(ISERROR(SEARCH("TRUE",D32)))</formula>
    </cfRule>
  </conditionalFormatting>
  <conditionalFormatting sqref="D36:K36">
    <cfRule type="expression" dxfId="107" priority="16">
      <formula>$L36</formula>
    </cfRule>
  </conditionalFormatting>
  <conditionalFormatting sqref="D37:K37">
    <cfRule type="expression" dxfId="106" priority="17">
      <formula>$L37</formula>
    </cfRule>
  </conditionalFormatting>
  <conditionalFormatting sqref="D33:K33">
    <cfRule type="expression" dxfId="105" priority="18">
      <formula>$L33</formula>
    </cfRule>
  </conditionalFormatting>
  <conditionalFormatting sqref="D34:K34">
    <cfRule type="expression" dxfId="104" priority="19">
      <formula>$L34</formula>
    </cfRule>
  </conditionalFormatting>
  <conditionalFormatting sqref="D35:K35">
    <cfRule type="expression" dxfId="103" priority="20">
      <formula>$L35</formula>
    </cfRule>
  </conditionalFormatting>
  <conditionalFormatting sqref="D34:L34">
    <cfRule type="containsText" dxfId="102" priority="15" operator="containsText" text="TRUE">
      <formula>NOT(ISERROR(SEARCH("TRUE",D34)))</formula>
    </cfRule>
  </conditionalFormatting>
  <conditionalFormatting sqref="D33:L33">
    <cfRule type="containsText" dxfId="101" priority="14" operator="containsText" text="TRUE">
      <formula>NOT(ISERROR(SEARCH("TRUE",D33)))</formula>
    </cfRule>
  </conditionalFormatting>
  <conditionalFormatting sqref="D35:L35">
    <cfRule type="containsText" dxfId="100" priority="11" operator="containsText" text="TRUE">
      <formula>NOT(ISERROR(SEARCH("TRUE",D35)))</formula>
    </cfRule>
  </conditionalFormatting>
  <conditionalFormatting sqref="D36:L36">
    <cfRule type="containsText" dxfId="99" priority="12" operator="containsText" text="TRUE">
      <formula>NOT(ISERROR(SEARCH("TRUE",D36)))</formula>
    </cfRule>
  </conditionalFormatting>
  <conditionalFormatting sqref="D37:L37">
    <cfRule type="containsText" dxfId="98" priority="13" operator="containsText" text="TRUE">
      <formula>NOT(ISERROR(SEARCH("TRUE",D37)))</formula>
    </cfRule>
  </conditionalFormatting>
  <conditionalFormatting sqref="D41:K41">
    <cfRule type="expression" dxfId="97" priority="6">
      <formula>$L41</formula>
    </cfRule>
  </conditionalFormatting>
  <conditionalFormatting sqref="D42:K42">
    <cfRule type="expression" dxfId="96" priority="7">
      <formula>$L42</formula>
    </cfRule>
  </conditionalFormatting>
  <conditionalFormatting sqref="D38:K38">
    <cfRule type="expression" dxfId="95" priority="8">
      <formula>$L38</formula>
    </cfRule>
  </conditionalFormatting>
  <conditionalFormatting sqref="D39:K39">
    <cfRule type="expression" dxfId="94" priority="9">
      <formula>$L39</formula>
    </cfRule>
  </conditionalFormatting>
  <conditionalFormatting sqref="D40:K40">
    <cfRule type="expression" dxfId="93" priority="10">
      <formula>$L40</formula>
    </cfRule>
  </conditionalFormatting>
  <conditionalFormatting sqref="D39:L39">
    <cfRule type="containsText" dxfId="92" priority="5" operator="containsText" text="TRUE">
      <formula>NOT(ISERROR(SEARCH("TRUE",D39)))</formula>
    </cfRule>
  </conditionalFormatting>
  <conditionalFormatting sqref="D38:L38">
    <cfRule type="containsText" dxfId="91" priority="4" operator="containsText" text="TRUE">
      <formula>NOT(ISERROR(SEARCH("TRUE",D38)))</formula>
    </cfRule>
  </conditionalFormatting>
  <conditionalFormatting sqref="D40:L40">
    <cfRule type="containsText" dxfId="90" priority="1" operator="containsText" text="TRUE">
      <formula>NOT(ISERROR(SEARCH("TRUE",D40)))</formula>
    </cfRule>
  </conditionalFormatting>
  <conditionalFormatting sqref="D41:L41">
    <cfRule type="containsText" dxfId="89" priority="2" operator="containsText" text="TRUE">
      <formula>NOT(ISERROR(SEARCH("TRUE",D41)))</formula>
    </cfRule>
  </conditionalFormatting>
  <conditionalFormatting sqref="D42:L42">
    <cfRule type="containsText" dxfId="88" priority="3" operator="containsText" text="TRUE">
      <formula>NOT(ISERROR(SEARCH("TRUE",D42)))</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AAAC5-CA7F-40D0-8F6B-A2A5B5699C81}">
  <sheetPr codeName="Sheet10"/>
  <dimension ref="A1:AX880"/>
  <sheetViews>
    <sheetView workbookViewId="0">
      <pane ySplit="3" topLeftCell="A4" activePane="bottomLeft" state="frozen"/>
      <selection pane="bottomLeft" activeCell="H4" sqref="H4"/>
    </sheetView>
  </sheetViews>
  <sheetFormatPr defaultRowHeight="15"/>
  <cols>
    <col min="1" max="1" width="3.7109375" style="17" bestFit="1" customWidth="1"/>
    <col min="2" max="2" width="9.7109375" style="17" customWidth="1"/>
    <col min="3" max="3" width="28.42578125" style="17" bestFit="1" customWidth="1"/>
    <col min="4" max="27" width="35.7109375" style="248" customWidth="1"/>
    <col min="28" max="16384" width="9.140625" style="17"/>
  </cols>
  <sheetData>
    <row r="1" spans="1:50" s="1" customFormat="1" ht="15.75" thickBot="1">
      <c r="A1" s="111" t="s">
        <v>248</v>
      </c>
      <c r="B1" s="39"/>
      <c r="C1" s="112"/>
      <c r="D1" s="393" t="s">
        <v>30</v>
      </c>
      <c r="E1" s="394"/>
      <c r="F1" s="394"/>
      <c r="G1" s="394"/>
      <c r="H1" s="394"/>
      <c r="I1" s="394"/>
      <c r="J1" s="394"/>
      <c r="K1" s="394"/>
      <c r="L1" s="394"/>
      <c r="M1" s="394"/>
      <c r="N1" s="394"/>
      <c r="O1" s="394"/>
      <c r="P1" s="394"/>
      <c r="Q1" s="394"/>
      <c r="R1" s="394"/>
      <c r="S1" s="394"/>
      <c r="T1" s="394"/>
      <c r="U1" s="394"/>
      <c r="V1" s="394"/>
      <c r="W1" s="394"/>
      <c r="X1" s="394"/>
      <c r="Y1" s="394"/>
      <c r="Z1" s="394"/>
      <c r="AA1" s="403"/>
      <c r="AB1" s="422"/>
    </row>
    <row r="2" spans="1:50" ht="15.75" thickBot="1">
      <c r="A2" s="100"/>
      <c r="B2" s="363" t="s">
        <v>105</v>
      </c>
      <c r="C2" s="423"/>
      <c r="D2" s="419" t="s">
        <v>36</v>
      </c>
      <c r="E2" s="420"/>
      <c r="F2" s="421"/>
      <c r="G2" s="419" t="s">
        <v>37</v>
      </c>
      <c r="H2" s="420"/>
      <c r="I2" s="421"/>
      <c r="J2" s="419" t="s">
        <v>38</v>
      </c>
      <c r="K2" s="420"/>
      <c r="L2" s="421"/>
      <c r="M2" s="419" t="s">
        <v>39</v>
      </c>
      <c r="N2" s="420"/>
      <c r="O2" s="421"/>
      <c r="P2" s="419" t="s">
        <v>40</v>
      </c>
      <c r="Q2" s="420"/>
      <c r="R2" s="421"/>
      <c r="S2" s="419" t="s">
        <v>41</v>
      </c>
      <c r="T2" s="420"/>
      <c r="U2" s="421"/>
      <c r="V2" s="419" t="s">
        <v>42</v>
      </c>
      <c r="W2" s="420"/>
      <c r="X2" s="421"/>
      <c r="Y2" s="419" t="s">
        <v>43</v>
      </c>
      <c r="Z2" s="420"/>
      <c r="AA2" s="421"/>
      <c r="AB2" s="422"/>
      <c r="AD2" s="101"/>
      <c r="AE2" s="36"/>
    </row>
    <row r="3" spans="1:50" ht="15.75" thickBot="1">
      <c r="A3" s="100"/>
      <c r="B3" s="107"/>
      <c r="C3" s="113"/>
      <c r="D3" s="237" t="s">
        <v>102</v>
      </c>
      <c r="E3" s="238" t="s">
        <v>103</v>
      </c>
      <c r="F3" s="239" t="s">
        <v>104</v>
      </c>
      <c r="G3" s="237" t="s">
        <v>102</v>
      </c>
      <c r="H3" s="238" t="s">
        <v>103</v>
      </c>
      <c r="I3" s="239" t="s">
        <v>104</v>
      </c>
      <c r="J3" s="237" t="s">
        <v>102</v>
      </c>
      <c r="K3" s="238" t="s">
        <v>103</v>
      </c>
      <c r="L3" s="239" t="s">
        <v>104</v>
      </c>
      <c r="M3" s="237" t="s">
        <v>102</v>
      </c>
      <c r="N3" s="238" t="s">
        <v>103</v>
      </c>
      <c r="O3" s="239" t="s">
        <v>104</v>
      </c>
      <c r="P3" s="237" t="s">
        <v>102</v>
      </c>
      <c r="Q3" s="238" t="s">
        <v>103</v>
      </c>
      <c r="R3" s="239" t="s">
        <v>104</v>
      </c>
      <c r="S3" s="237" t="s">
        <v>102</v>
      </c>
      <c r="T3" s="238" t="s">
        <v>103</v>
      </c>
      <c r="U3" s="239" t="s">
        <v>104</v>
      </c>
      <c r="V3" s="237" t="s">
        <v>102</v>
      </c>
      <c r="W3" s="238" t="s">
        <v>103</v>
      </c>
      <c r="X3" s="239" t="s">
        <v>104</v>
      </c>
      <c r="Y3" s="237" t="s">
        <v>102</v>
      </c>
      <c r="Z3" s="238" t="s">
        <v>103</v>
      </c>
      <c r="AA3" s="239" t="s">
        <v>104</v>
      </c>
      <c r="AB3" s="99"/>
      <c r="AC3" s="106" t="s">
        <v>171</v>
      </c>
    </row>
    <row r="4" spans="1:50" ht="210">
      <c r="A4" s="416" t="s">
        <v>31</v>
      </c>
      <c r="B4" s="392" t="s">
        <v>2</v>
      </c>
      <c r="C4" s="102" t="str">
        <f>'Step 1 - System Definition'!O2</f>
        <v>Battery Cell(s)</v>
      </c>
      <c r="D4" s="108" t="str">
        <f>'Step 2 - Service Definition|2'!D3</f>
        <v>The primary function is to charge or discharge stored electrical energy as direct current (DC). Based on the principle of electrochemistry where chemical energy is converted into electrical energy during discharging, and electrical energy is converted back into chemical energy during charging. The nominal voltage for these cells is &lt;Nominal Voltage Level&gt;</v>
      </c>
      <c r="E4" s="240" t="s">
        <v>275</v>
      </c>
      <c r="F4" s="241" t="s">
        <v>193</v>
      </c>
      <c r="G4" s="265" t="str">
        <f>'Step 2 - Service Definition|2'!E3</f>
        <v>The primary function is to charge or discharge stored electrical energy as direct current (DC). Based on the principle of electrochemistry where chemical energy is converted into electrical energy during discharging, and electrical energy is converted back into chemical energy during charging. The nominal voltage for these cells is &lt;Nominal Voltage Level&gt;</v>
      </c>
      <c r="H4" s="256" t="s">
        <v>275</v>
      </c>
      <c r="I4" s="79" t="s">
        <v>193</v>
      </c>
      <c r="J4" s="108" t="str">
        <f>'Step 2 - Service Definition|2'!F3</f>
        <v>The primary function is to charge or discharge stored electrical energy as direct current (DC). Based on the principle of electrochemistry where chemical energy is converted into electrical energy during discharging, and electrical energy is converted back into chemical energy during charging. The nominal voltage for these cells is &lt;Nominal Voltage Level&gt;</v>
      </c>
      <c r="K4" s="240" t="s">
        <v>275</v>
      </c>
      <c r="L4" s="241" t="s">
        <v>193</v>
      </c>
      <c r="M4" s="108" t="str">
        <f>'Step 2 - Service Definition|2'!G3</f>
        <v>The primary function is to charge or discharge stored electrical energy as direct current (DC). Based on the principle of electrochemistry where chemical energy is converted into electrical energy during discharging, and electrical energy is converted back into chemical energy during charging. The nominal voltage for these cells is &lt;Nominal Voltage Level&gt;</v>
      </c>
      <c r="N4" s="240" t="s">
        <v>275</v>
      </c>
      <c r="O4" s="241" t="s">
        <v>193</v>
      </c>
      <c r="P4" s="255" t="str">
        <f>'Step 2 - Service Definition|2'!H3</f>
        <v>The primary function is to charge or discharge stored electrical energy as direct current (DC). Based on the principle of electrochemistry where chemical energy is converted into electrical energy during discharging, and electrical energy is converted back into chemical energy during charging. The nominal voltage for these cells is &lt;Nominal Voltage Level&gt;</v>
      </c>
      <c r="Q4" s="256" t="s">
        <v>275</v>
      </c>
      <c r="R4" s="79" t="s">
        <v>193</v>
      </c>
      <c r="S4" s="108" t="str">
        <f>'Step 2 - Service Definition|2'!I3</f>
        <v>The primary function is to charge or discharge stored electrical energy as direct current (DC). Based on the principle of electrochemistry where chemical energy is converted into electrical energy during discharging, and electrical energy is converted back into chemical energy during charging. The nominal voltage for these cells is &lt;Nominal Voltage Level&gt;</v>
      </c>
      <c r="T4" s="240" t="s">
        <v>275</v>
      </c>
      <c r="U4" s="241" t="s">
        <v>193</v>
      </c>
      <c r="V4" s="108" t="str">
        <f>'Step 2 - Service Definition|2'!J3</f>
        <v>The primary function is to charge or discharge stored electrical energy as direct current (DC). Based on the principle of electrochemistry where chemical energy is converted into electrical energy during discharging, and electrical energy is converted back into chemical energy during charging. The nominal voltage for these cells is &lt;Nominal Voltage Level&gt;</v>
      </c>
      <c r="W4" s="240" t="s">
        <v>275</v>
      </c>
      <c r="X4" s="241" t="s">
        <v>193</v>
      </c>
      <c r="Y4" s="108" t="str">
        <f>'Step 2 - Service Definition|2'!K3</f>
        <v>The primary function is to charge or discharge stored electrical energy as direct current (DC). Based on the principle of electrochemistry where chemical energy is converted into electrical energy during discharging, and electrical energy is converted back into chemical energy during charging. The nominal voltage for these cells is &lt;Nominal Voltage Level&gt;</v>
      </c>
      <c r="Z4" s="240" t="s">
        <v>275</v>
      </c>
      <c r="AA4" s="241" t="s">
        <v>193</v>
      </c>
      <c r="AB4" s="57"/>
      <c r="AC4" s="367" t="s">
        <v>281</v>
      </c>
      <c r="AD4" s="368"/>
      <c r="AE4" s="368"/>
      <c r="AF4" s="368"/>
      <c r="AG4" s="368"/>
      <c r="AH4" s="368"/>
      <c r="AI4" s="369"/>
      <c r="AJ4" s="36"/>
      <c r="AL4" s="36"/>
      <c r="AM4" s="36"/>
      <c r="AN4" s="36"/>
      <c r="AO4" s="36"/>
      <c r="AQ4" s="36"/>
      <c r="AR4" s="36"/>
      <c r="AS4" s="36"/>
      <c r="AT4" s="36"/>
      <c r="AU4" s="36"/>
      <c r="AV4" s="36"/>
      <c r="AW4" s="36"/>
      <c r="AX4" s="36"/>
    </row>
    <row r="5" spans="1:50" ht="210">
      <c r="A5" s="417"/>
      <c r="B5" s="390"/>
      <c r="C5" s="103" t="str">
        <f>'Step 1 - System Definition'!O3</f>
        <v>Battery Module(s)</v>
      </c>
      <c r="D5" s="109" t="str">
        <f>'Step 2 - Service Definition|2'!D4</f>
        <v>The primary function is to orient in series and parallel a set of battery cells. Cells are connected in series to achieve a higher voltage level. The total voltage of the module is &lt;Module Voltage Level&gt;. Cells are connected in parallel to increase the total capacity (ampere-hours, Ah) of the module. The total ampere-hours is &lt;Module Ah Level&gt;.</v>
      </c>
      <c r="E5" s="242" t="s">
        <v>275</v>
      </c>
      <c r="F5" s="243" t="s">
        <v>193</v>
      </c>
      <c r="G5" s="250" t="str">
        <f>'Step 2 - Service Definition|2'!E4</f>
        <v>The primary function is to orient in series and parallel a set of battery cells. Cells are connected in series to achieve a higher voltage level. The total voltage of the module is &lt;Module Voltage Level&gt;. Cells are connected in parallel to increase the total capacity (ampere-hours, Ah) of the module. The total ampere-hours is &lt;Module Ah Level&gt;.</v>
      </c>
      <c r="H5" s="242" t="s">
        <v>275</v>
      </c>
      <c r="I5" s="243" t="s">
        <v>193</v>
      </c>
      <c r="J5" s="109" t="str">
        <f>'Step 2 - Service Definition|2'!F4</f>
        <v>The primary function is to orient in series and parallel a set of battery cells. Cells are connected in series to achieve a higher voltage level. The total voltage of the module is &lt;Module Voltage Level&gt;. Cells are connected in parallel to increase the total capacity (ampere-hours, Ah) of the module. The total ampere-hours is &lt;Module Ah Level&gt;.</v>
      </c>
      <c r="K5" s="242" t="s">
        <v>275</v>
      </c>
      <c r="L5" s="243" t="s">
        <v>193</v>
      </c>
      <c r="M5" s="109" t="str">
        <f>'Step 2 - Service Definition|2'!G4</f>
        <v>The primary function is to orient in series and parallel a set of battery cells. Cells are connected in series to achieve a higher voltage level. The total voltage of the module is &lt;Module Voltage Level&gt;. Cells are connected in parallel to increase the total capacity (ampere-hours, Ah) of the module. The total ampere-hours is &lt;Module Ah Level&gt;.</v>
      </c>
      <c r="N5" s="242" t="s">
        <v>275</v>
      </c>
      <c r="O5" s="243" t="s">
        <v>193</v>
      </c>
      <c r="P5" s="109" t="str">
        <f>'Step 2 - Service Definition|2'!H4</f>
        <v>The primary function is to orient in series and parallel a set of battery cells. Cells are connected in series to achieve a higher voltage level. The total voltage of the module is &lt;Module Voltage Level&gt;. Cells are connected in parallel to increase the total capacity (ampere-hours, Ah) of the module. The total ampere-hours is &lt;Module Ah Level&gt;.</v>
      </c>
      <c r="Q5" s="242" t="s">
        <v>275</v>
      </c>
      <c r="R5" s="243" t="s">
        <v>193</v>
      </c>
      <c r="S5" s="109" t="str">
        <f>'Step 2 - Service Definition|2'!I4</f>
        <v>The primary function is to orient in series and parallel a set of battery cells. Cells are connected in series to achieve a higher voltage level. The total voltage of the module is &lt;Module Voltage Level&gt;. Cells are connected in parallel to increase the total capacity (ampere-hours, Ah) of the module. The total ampere-hours is &lt;Module Ah Level&gt;.</v>
      </c>
      <c r="T5" s="242" t="s">
        <v>275</v>
      </c>
      <c r="U5" s="243" t="s">
        <v>193</v>
      </c>
      <c r="V5" s="109" t="str">
        <f>'Step 2 - Service Definition|2'!J4</f>
        <v>The primary function is to orient in series and parallel a set of battery cells. Cells are connected in series to achieve a higher voltage level. The total voltage of the module is &lt;Module Voltage Level&gt;. Cells are connected in parallel to increase the total capacity (ampere-hours, Ah) of the module. The total ampere-hours is &lt;Module Ah Level&gt;.</v>
      </c>
      <c r="W5" s="242" t="s">
        <v>275</v>
      </c>
      <c r="X5" s="243" t="s">
        <v>193</v>
      </c>
      <c r="Y5" s="109" t="str">
        <f>'Step 2 - Service Definition|2'!K4</f>
        <v>The primary function is to orient in series and parallel a set of battery cells. Cells are connected in series to achieve a higher voltage level. The total voltage of the module is &lt;Module Voltage Level&gt;. Cells are connected in parallel to increase the total capacity (ampere-hours, Ah) of the module. The total ampere-hours is &lt;Module Ah Level&gt;.</v>
      </c>
      <c r="Z5" s="242" t="s">
        <v>275</v>
      </c>
      <c r="AA5" s="243" t="s">
        <v>193</v>
      </c>
      <c r="AB5" s="57"/>
      <c r="AC5" s="370"/>
      <c r="AD5" s="371"/>
      <c r="AE5" s="371"/>
      <c r="AF5" s="371"/>
      <c r="AG5" s="371"/>
      <c r="AH5" s="371"/>
      <c r="AI5" s="372"/>
      <c r="AJ5" s="37"/>
      <c r="AK5" s="37"/>
      <c r="AL5" s="37"/>
      <c r="AM5" s="37"/>
      <c r="AN5" s="37"/>
      <c r="AO5" s="37"/>
      <c r="AP5" s="37"/>
      <c r="AQ5" s="37"/>
      <c r="AR5" s="37"/>
      <c r="AS5" s="37"/>
      <c r="AT5" s="37"/>
      <c r="AU5" s="37"/>
      <c r="AV5" s="37"/>
      <c r="AW5" s="37"/>
      <c r="AX5" s="37"/>
    </row>
    <row r="6" spans="1:50" ht="210.75" thickBot="1">
      <c r="A6" s="417"/>
      <c r="B6" s="391"/>
      <c r="C6" s="104" t="str">
        <f>'Step 1 - System Definition'!O4</f>
        <v>Battery Pack(s)</v>
      </c>
      <c r="D6" s="110" t="str">
        <f>'Step 2 - Service Definition|2'!D5</f>
        <v>The primary function is to orient in series and parallel a set of battery modules. The number and arrangement of modules in series and parallel, which determine the pack’s voltage and capacity. The pack voltage level is &lt;Pack Voltage Level&gt;. The ampere-hours is &lt;Pack Ah Level&gt;. The pack [does|does not] provide load balancing between the modules. The pack [does|does not] provide protective housing against environmental factors and mechanical damage.</v>
      </c>
      <c r="E6" s="246" t="s">
        <v>275</v>
      </c>
      <c r="F6" s="282" t="s">
        <v>193</v>
      </c>
      <c r="G6" s="251" t="str">
        <f>'Step 2 - Service Definition|2'!E5</f>
        <v>The primary function is to orient in series and parallel a set of battery modules. The number and arrangement of modules in series and parallel, which determine the pack’s voltage and capacity. The pack voltage level is &lt;Pack Voltage Level&gt;. The ampere-hours is &lt;Pack Ah Level&gt;. The pack [does|does not] provide load balancing between the modules. The pack [does|does not] provide protective housing against environmental factors and mechanical damage.</v>
      </c>
      <c r="H6" s="246" t="s">
        <v>275</v>
      </c>
      <c r="I6" s="282" t="s">
        <v>193</v>
      </c>
      <c r="J6" s="110" t="str">
        <f>'Step 2 - Service Definition|2'!F5</f>
        <v>The primary function is to orient in series and parallel a set of battery modules. The number and arrangement of modules in series and parallel, which determine the pack’s voltage and capacity. The pack voltage level is &lt;Pack Voltage Level&gt;. The ampere-hours is &lt;Pack Ah Level&gt;. The pack [does|does not] provide load balancing between the modules. The pack [does|does not] provide protective housing against environmental factors and mechanical damage.</v>
      </c>
      <c r="K6" s="246" t="s">
        <v>275</v>
      </c>
      <c r="L6" s="282" t="s">
        <v>193</v>
      </c>
      <c r="M6" s="110" t="str">
        <f>'Step 2 - Service Definition|2'!G5</f>
        <v>The primary function is to orient in series and parallel a set of battery modules. The number and arrangement of modules in series and parallel, which determine the pack’s voltage and capacity. The pack voltage level is &lt;Pack Voltage Level&gt;. The ampere-hours is &lt;Pack Ah Level&gt;. The pack [does|does not] provide load balancing between the modules. The pack [does|does not] provide protective housing against environmental factors and mechanical damage.</v>
      </c>
      <c r="N6" s="246" t="s">
        <v>275</v>
      </c>
      <c r="O6" s="282" t="s">
        <v>193</v>
      </c>
      <c r="P6" s="110" t="str">
        <f>'Step 2 - Service Definition|2'!H5</f>
        <v>The primary function is to orient in series and parallel a set of battery modules. The number and arrangement of modules in series and parallel, which determine the pack’s voltage and capacity. The pack voltage level is &lt;Pack Voltage Level&gt;. The ampere-hours is &lt;Pack Ah Level&gt;. The pack [does|does not] provide load balancing between the modules. The pack [does|does not] provide protective housing against environmental factors and mechanical damage.</v>
      </c>
      <c r="Q6" s="246" t="s">
        <v>275</v>
      </c>
      <c r="R6" s="282" t="s">
        <v>193</v>
      </c>
      <c r="S6" s="110" t="str">
        <f>'Step 2 - Service Definition|2'!I5</f>
        <v>The primary function is to orient in series and parallel a set of battery modules. The number and arrangement of modules in series and parallel, which determine the pack’s voltage and capacity. The pack voltage level is &lt;Pack Voltage Level&gt;. The ampere-hours is &lt;Pack Ah Level&gt;. The pack [does|does not] provide load balancing between the modules. The pack [does|does not] provide protective housing against environmental factors and mechanical damage.</v>
      </c>
      <c r="T6" s="246" t="s">
        <v>275</v>
      </c>
      <c r="U6" s="282" t="s">
        <v>193</v>
      </c>
      <c r="V6" s="110" t="str">
        <f>'Step 2 - Service Definition|2'!J5</f>
        <v>The primary function is to orient in series and parallel a set of battery modules. The number and arrangement of modules in series and parallel, which determine the pack’s voltage and capacity. The pack voltage level is &lt;Pack Voltage Level&gt;. The ampere-hours is &lt;Pack Ah Level&gt;. The pack [does|does not] provide load balancing between the modules. The pack [does|does not] provide protective housing against environmental factors and mechanical damage.</v>
      </c>
      <c r="W6" s="246" t="s">
        <v>275</v>
      </c>
      <c r="X6" s="282" t="s">
        <v>193</v>
      </c>
      <c r="Y6" s="110" t="str">
        <f>'Step 2 - Service Definition|2'!K5</f>
        <v>The primary function is to orient in series and parallel a set of battery modules. The number and arrangement of modules in series and parallel, which determine the pack’s voltage and capacity. The pack voltage level is &lt;Pack Voltage Level&gt;. The ampere-hours is &lt;Pack Ah Level&gt;. The pack [does|does not] provide load balancing between the modules. The pack [does|does not] provide protective housing against environmental factors and mechanical damage.</v>
      </c>
      <c r="Z6" s="246" t="s">
        <v>275</v>
      </c>
      <c r="AA6" s="282" t="s">
        <v>193</v>
      </c>
      <c r="AB6" s="57"/>
      <c r="AC6" s="373"/>
      <c r="AD6" s="374"/>
      <c r="AE6" s="374"/>
      <c r="AF6" s="374"/>
      <c r="AG6" s="374"/>
      <c r="AH6" s="374"/>
      <c r="AI6" s="375"/>
    </row>
    <row r="7" spans="1:50" ht="405">
      <c r="A7" s="417"/>
      <c r="B7" s="392" t="s">
        <v>32</v>
      </c>
      <c r="C7" s="102" t="str">
        <f>'Step 1 - System Definition'!O5</f>
        <v>Interface Board(s)</v>
      </c>
      <c r="D7" s="108" t="str">
        <f>'Step 2 - Service Definition|2'!D6</f>
        <v>The primary function is to provide signal conditioning, multiplexing, control and sensor signal transmission, and protection logic. Signal conditioning is provided to [voltage|current|temp|all] sensed values. This board provides multiplexing for [#] of battery pack signals. The sensed values are communicated to the following devices: [list components here]. Control signals that are communicated by this interface board are communicated as follows: [list the following (src component,dest component)]. The following protection actions are handled by the interface board: [list actions here (i.e. disconnect the battery pack from the load or charge when an overvoltage unsafe operating condition is detected)]. The following protocol is used to communciate signals upstream between this board and a component: [list the following (protocol (i.e. CAN, ModBus, I2C, etc.) - component)].</v>
      </c>
      <c r="E7" s="240" t="s">
        <v>275</v>
      </c>
      <c r="F7" s="245" t="s">
        <v>276</v>
      </c>
      <c r="G7" s="249" t="str">
        <f>'Step 2 - Service Definition|2'!E6</f>
        <v>The primary function is to provide signal conditioning, multiplexing, control and sensor signal transmission, and protection logic. Signal conditioning is provided to [voltage|current|temp|all] sensed values. This board provides multiplexing for [#] of battery pack signals. The sensed values are communicated to the following devices: [list components here]. Control signals that are communicated by this interface board are communicated as follows: [list the following (src component,dest component)]. The following protection actions are handled by the interface board: [list actions here (i.e. disconnect the battery pack from the load or charge when an overvoltage unsafe operating condition is detected)]. The following protocol is used to communciate signals between this board and a component: [list the following (protocol (i.e. CAN, ModBus, I2C, etc.) - component)].</v>
      </c>
      <c r="H7" s="240" t="s">
        <v>275</v>
      </c>
      <c r="I7" s="245" t="s">
        <v>276</v>
      </c>
      <c r="J7" s="108" t="str">
        <f>'Step 2 - Service Definition|2'!F6</f>
        <v>The primary function is to provide signal conditioning, multiplexing, control and sensor signal transmission, and protection logic. Signal conditioning is provided to [voltage|current|temp|all] sensed values. This board provides multiplexing for [#] of battery pack signals. The sensed values are communicated to the following devices: [list components here]. Control signals that are communicated by this interface board are communicated as follows: [list the following (src component,dest component)]. The following protection actions are handled by the interface board: [list actions here (i.e. disconnect the battery pack from the load or charge when an overvoltage unsafe operating condition is detected)]. The following protocol is used to communciate signals between this board and a component: [list the following (protocol (i.e. CAN, ModBus, I2C, etc.) - component)].</v>
      </c>
      <c r="K7" s="240" t="s">
        <v>275</v>
      </c>
      <c r="L7" s="245" t="s">
        <v>276</v>
      </c>
      <c r="M7" s="108" t="str">
        <f>'Step 2 - Service Definition|2'!G6</f>
        <v>The primary function is to provide signal conditioning, multiplexing, control and sensor signal transmission, and protection logic. Signal conditioning is provided to [voltage|current|temp|all] sensed values. This board provides multiplexing for [#] of battery pack signals. The sensed values are communicated to the following devices: [list components here]. Control signals that are communicated by this interface board are communicated as follows: [list the following (src component,dest component)]. The following protection actions are handled by the interface board: [list actions here (i.e. disconnect the battery pack from the load or charge when an overvoltage unsafe operating condition is detected)]. The following protocol is used to communciate signals between this board and a component: [list the following (protocol (i.e. CAN, ModBus, I2C, etc.) - component)].</v>
      </c>
      <c r="N7" s="240" t="s">
        <v>275</v>
      </c>
      <c r="O7" s="245" t="s">
        <v>276</v>
      </c>
      <c r="P7" s="108" t="str">
        <f>'Step 2 - Service Definition|2'!H6</f>
        <v>The primary function is to provide signal conditioning, multiplexing, control and sensor signal transmission, and protection logic. Signal conditioning is provided to [voltage|current|temp|all] sensed values. This board provides multiplexing for [#] of battery pack signals. The sensed values are communicated to the following devices: [list components here]. Control signals that are communicated by this interface board are communicated as follows: [list the following (src component,dest component)]. The following protection actions are handled by the interface board: [list actions here (i.e. disconnect the battery pack from the load or charge when an overvoltage unsafe operating condition is detected)]. The following protocol is used to communciate signals between this board and a component: [list the following (protocol (i.e. CAN, ModBus, I2C, etc.) - component)].</v>
      </c>
      <c r="Q7" s="240" t="s">
        <v>275</v>
      </c>
      <c r="R7" s="245" t="s">
        <v>276</v>
      </c>
      <c r="S7" s="108" t="str">
        <f>'Step 2 - Service Definition|2'!I6</f>
        <v>The primary function is to provide signal conditioning, multiplexing, control and sensor signal transmission, and protection logic. Signal conditioning is provided to [voltage|current|temp|all] sensed values. This board provides multiplexing for [#] of battery pack signals. The sensed values are communicated to the following devices: [list components here]. Control signals that are communicated by this interface board are communicated as follows: [list the following (src component,dest component)]. The following protection actions are handled by the interface board: [list actions here (i.e. disconnect the battery pack from the load or charge when an overvoltage unsafe operating condition is detected)]. The following protocol is used to communciate signals between this board and a component: [list the following (protocol (i.e. CAN, ModBus, I2C, etc.) - component)].</v>
      </c>
      <c r="T7" s="240" t="s">
        <v>275</v>
      </c>
      <c r="U7" s="245" t="s">
        <v>276</v>
      </c>
      <c r="V7" s="108" t="str">
        <f>'Step 2 - Service Definition|2'!J6</f>
        <v>The primary function is to provide signal conditioning, multiplexing, control and sensor signal transmission, and protection logic. Signal conditioning is provided to [voltage|current|temp|all] sensed values. This board provides multiplexing for [#] of battery pack signals. The sensed values are communicated to the following devices: [list components here]. Control signals that are communicated by this interface board are communicated as follows: [list the following (src component,dest component)]. The following protection actions are handled by the interface board: [list actions here (i.e. disconnect the battery pack from the load or charge when an overvoltage unsafe operating condition is detected)]. The following protocol is used to communciate signals between this board and a component: [list the following (protocol (i.e. CAN, ModBus, I2C, etc.) - component)].</v>
      </c>
      <c r="W7" s="240" t="s">
        <v>275</v>
      </c>
      <c r="X7" s="245" t="s">
        <v>276</v>
      </c>
      <c r="Y7" s="108" t="str">
        <f>'Step 2 - Service Definition|2'!K6</f>
        <v>The primary function is to provide signal conditioning, multiplexing, control and sensor signal transmission, and protection logic. Signal conditioning is provided to [voltage|current|temp|all] sensed values. This board provides multiplexing for [#] of battery pack signals. The sensed values are communicated to the following devices: [list components here]. Control signals that are communicated by this interface board are communicated as follows: [list the following (src component,dest component)]. The following protection actions are handled by the interface board: [list actions here (i.e. disconnect the battery pack from the load or charge when an overvoltage unsafe operating condition is detected)]. The following protocol is used to communciate signals between this board and a component: [list the following (protocol (i.e. CAN, ModBus, I2C, etc.) - component)].</v>
      </c>
      <c r="Z7" s="240" t="s">
        <v>275</v>
      </c>
      <c r="AA7" s="245" t="s">
        <v>276</v>
      </c>
      <c r="AB7" s="57"/>
    </row>
    <row r="8" spans="1:50" ht="375">
      <c r="A8" s="417"/>
      <c r="B8" s="390"/>
      <c r="C8" s="103" t="str">
        <f>'Step 1 - System Definition'!O6</f>
        <v>Controller</v>
      </c>
      <c r="D8" s="109" t="str">
        <f>'Step 2 - Service Definition|2'!D7</f>
        <v>The primary function is to provide state estimation, decision making, protection and thermal management of batteries keep the batteries within the optimal temperature ranges. The following battery metrics are calculated: [State of Charge (SoC), State of Health (SoH), State of Power (SoP), ...]. The following decisions are made: [when to start or stop charging, when to start or stop discharging, how to manage current and voltage, and how to balance the cells to maintain uniformity]. The following conditions are used for protection functions: [overvoltage, undervoltage, overtemperature, overcurrent, ...]. The following commands are used for thermal management: [cooling, heating]. The following protocol is used to communciate signals upstream between this board and a component: [list the following (protocol (i.e. CAN, ModBus, TCP/IP, etc.) - component)].</v>
      </c>
      <c r="E8" s="242" t="s">
        <v>275</v>
      </c>
      <c r="F8" s="244" t="s">
        <v>278</v>
      </c>
      <c r="G8" s="250" t="str">
        <f>'Step 2 - Service Definition|2'!E7</f>
        <v>The primary function is to provide state estimation, decision making, protection and thermal management of batteries keep the batteries within the optimal temperature ranges. The following battery metrics are calculated: [State of Charge (SoC), State of Health (SoH), State of Power (SoP), ...]. The following decisions are made: [when to start or stop charging, when to start or stop discharging, how to manage current and voltage, and how to balance the cells to maintain uniformity]. The following conditiions are used for protection functions: [overvoltage, undervoltage, overtemperature, overcurrent, ...]. The following commands are used for thermal management: [cooling, heating]. The following protocol is used to communciate signals upstream between this board and a component: [list the following (protocol (i.e. CAN, ModBus, TCP/IP, etc.) - component)].</v>
      </c>
      <c r="H8" s="242" t="s">
        <v>275</v>
      </c>
      <c r="I8" s="244" t="s">
        <v>278</v>
      </c>
      <c r="J8" s="109" t="str">
        <f>'Step 2 - Service Definition|2'!F7</f>
        <v>The primary function is to provide state estimation, decision making, protection and thermal management of batteries keep the batteries within the optimal temperature ranges. The following battery metrics are calculated: [State of Charge (SoC), State of Health (SoH), State of Power (SoP), ...]. The following decisions are made: [when to start or stop charging, when to start or stop discharging, how to manage current and voltage, and how to balance the cells to maintain uniformity]. The following conditiions are used for protection functions: [overvoltage, undervoltage, overtemperature, overcurrent, ...]. The following commands are used for thermal management: [cooling, heating]. The following protocol is used to communciate signals upstream between this board and a component: [list the following (protocol (i.e. CAN, ModBus, TCP/IP, etc.) - component)].</v>
      </c>
      <c r="K8" s="242" t="s">
        <v>275</v>
      </c>
      <c r="L8" s="244" t="s">
        <v>278</v>
      </c>
      <c r="M8" s="109" t="str">
        <f>'Step 2 - Service Definition|2'!G7</f>
        <v>The primary function is to provide state estimation, decision making, protection and thermal management of batteries keep the batteries within the optimal temperature ranges. The following battery metrics are calculated: [State of Charge (SoC), State of Health (SoH), State of Power (SoP), ...]. The following decisions are made: [when to start or stop charging, when to start or stop discharging, how to manage current and voltage, and how to balance the cells to maintain uniformity]. The following conditiions are used for protection functions: [overvoltage, undervoltage, overtemperature, overcurrent, ...]. The following commands are used for thermal management: [cooling, heating]. The following protocol is used to communciate signals upstream between this board and a component: [list the following (protocol (i.e. CAN, ModBus, TCP/IP, etc.) - component)].</v>
      </c>
      <c r="N8" s="242" t="s">
        <v>275</v>
      </c>
      <c r="O8" s="244" t="s">
        <v>278</v>
      </c>
      <c r="P8" s="109" t="str">
        <f>'Step 2 - Service Definition|2'!H7</f>
        <v>The primary function is to provide state estimation, decision making, protection and thermal management of batteries keep the batteries within the optimal temperature ranges. The following battery metrics are calculated: [State of Charge (SoC), State of Health (SoH), State of Power (SoP), ...]. The following decisions are made: [when to start or stop charging, when to start or stop discharging, how to manage current and voltage, and how to balance the cells to maintain uniformity]. The following conditiions are used for protection functions: [overvoltage, undervoltage, overtemperature, overcurrent, ...]. The following commands are used for thermal management: [cooling, heating]. The following protocol is used to communciate signals upstream between this board and a component: [list the following (protocol (i.e. CAN, ModBus, TCP/IP, etc.) - component)].</v>
      </c>
      <c r="Q8" s="242" t="s">
        <v>275</v>
      </c>
      <c r="R8" s="244" t="s">
        <v>278</v>
      </c>
      <c r="S8" s="109" t="str">
        <f>'Step 2 - Service Definition|2'!I7</f>
        <v>The primary function is to provide state estimation, decision making, protection and thermal management of batteries keep the batteries within the optimal temperature ranges. The following battery metrics are calculated: [State of Charge (SoC), State of Health (SoH), State of Power (SoP), ...]. The following decisions are made: [when to start or stop charging, when to start or stop discharging, how to manage current and voltage, and how to balance the cells to maintain uniformity]. The following conditiions are used for protection functions: [overvoltage, undervoltage, overtemperature, overcurrent, ...]. The following commands are used for thermal management: [cooling, heating]. The following protocol is used to communciate signals upstream between this board and a component: [list the following (protocol (i.e. CAN, ModBus, TCP/IP, etc.) - component)].</v>
      </c>
      <c r="T8" s="242" t="s">
        <v>275</v>
      </c>
      <c r="U8" s="244" t="s">
        <v>278</v>
      </c>
      <c r="V8" s="109" t="str">
        <f>'Step 2 - Service Definition|2'!J7</f>
        <v>The primary function is to provide state estimation, decision making, protection and thermal management of batteries keep the batteries within the optimal temperature ranges. The following battery metrics are calculated: [State of Charge (SoC), State of Health (SoH), State of Power (SoP), ...]. The following decisions are made: [when to start or stop charging, when to start or stop discharging, how to manage current and voltage, and how to balance the cells to maintain uniformity]. The following conditiions are used for protection functions: [overvoltage, undervoltage, overtemperature, overcurrent, ...]. The following commands are used for thermal management: [cooling, heating]. The following protocol is used to communciate signals upstream between this board and a component: [list the following (protocol (i.e. CAN, ModBus, TCP/IP, etc.) - component)].</v>
      </c>
      <c r="W8" s="242" t="s">
        <v>275</v>
      </c>
      <c r="X8" s="244" t="s">
        <v>278</v>
      </c>
      <c r="Y8" s="109" t="str">
        <f>'Step 2 - Service Definition|2'!K7</f>
        <v>The primary function is to provide state estimation, decision making, protection and thermal management of batteries keep the batteries within the optimal temperature ranges. The following battery metrics are calculated: [State of Charge (SoC), State of Health (SoH), State of Power (SoP), ...]. The following decisions are made: [when to start or stop charging, when to start or stop discharging, how to manage current and voltage, and how to balance the cells to maintain uniformity]. The following conditiions are used for protection functions: [overvoltage, undervoltage, overtemperature, overcurrent, ...]. The following commands are used for thermal management: [cooling, heating]. The following protocol is used to communciate signals upstream between this board and a component: [list the following (protocol (i.e. CAN, ModBus, TCP/IP, etc.) - component)].</v>
      </c>
      <c r="Z8" s="242" t="s">
        <v>275</v>
      </c>
      <c r="AA8" s="244" t="s">
        <v>278</v>
      </c>
      <c r="AB8" s="57"/>
    </row>
    <row r="9" spans="1:50" ht="300.75" thickBot="1">
      <c r="A9" s="417"/>
      <c r="B9" s="391"/>
      <c r="C9" s="104" t="str">
        <f>'Step 1 - System Definition'!O7</f>
        <v>Sensor(s)</v>
      </c>
      <c r="D9" s="110" t="str">
        <f>'Step 2 - Service Definition|2'!D8</f>
        <v>The primary function is to measure the voltage, current, and temperature of the batteries. The voltage sensing is placed on each [cell|module|pack], its range is from [VoltageMin] to [VoltageMax], and its resolution is [VoltageRes] with an accuracy of [VoltageAcc] and a response time of [VoltageResp]. The current sensing is placed on each [cell|module|pack], its range is from [CurrMin] to [CurrMax], and its resolution is [CurrRes] with an accuracy of [CurrAcc] and a response time of [CurrResp]. The temperature sensing is placed on each [cell|module|pack], its range is from [TempMin] to [TempMax], and its resolution is [TempRes] with an accuracy of [TempAcc] and a response time of [TempResp].</v>
      </c>
      <c r="E9" s="246" t="s">
        <v>275</v>
      </c>
      <c r="F9" s="247" t="s">
        <v>276</v>
      </c>
      <c r="G9" s="251" t="str">
        <f>'Step 2 - Service Definition|2'!E8</f>
        <v>The primary function is to measure the voltage, current, and temperature of the batteries. The voltage sensing is placed on each [cell|module|pack], its range is from [VoltageMin] to [VoltageMax], and its resolution is [VoltageRes] with an accuracy of [VoltageAcc] and a response time of [VoltageResp]. The current sensing is placed on each [cell|module|pack], its range is from [CurrMin] to [CurrMax], and its resolution is [CurrRes] with an accuracy of [CurrAcc] and a response time of [CurrResp]. The temperature sensing is placed on each [cell|module|pack], its range is from [TempMin] to [TempMax], and its resolution is [TempRes] with an accuracy of [TempAcc] and a response time of [TempResp].</v>
      </c>
      <c r="H9" s="246" t="s">
        <v>275</v>
      </c>
      <c r="I9" s="247" t="s">
        <v>276</v>
      </c>
      <c r="J9" s="110" t="str">
        <f>'Step 2 - Service Definition|2'!F8</f>
        <v>The primary function is to measure the voltage, current, and temperature of the batteries. The voltage sensing is placed on each [cell|module|pack], its range is from [VoltageMin] to [VoltageMax], and its resolution is [VoltageRes] with an accuracy of [VoltageAcc] and a response time of [VoltageResp]. The current sensing is placed on each [cell|module|pack], its range is from [CurrMin] to [CurrMax], and its resolution is [CurrRes] with an accuracy of [CurrAcc] and a response time of [CurrResp]. The temperature sensing is placed on each [cell|module|pack], its range is from [TempMin] to [TempMax], and its resolution is [TempRes] with an accuracy of [TempAcc] and a response time of [TempResp].</v>
      </c>
      <c r="K9" s="246" t="s">
        <v>275</v>
      </c>
      <c r="L9" s="247" t="s">
        <v>276</v>
      </c>
      <c r="M9" s="110" t="str">
        <f>'Step 2 - Service Definition|2'!G8</f>
        <v>The primary function is to measure the voltage, current, and temperature of the batteries. The voltage sensing is placed on each [cell|module|pack], its range is from [VoltageMin] to [VoltageMax], and its resolution is [VoltageRes] with an accuracy of [VoltageAcc] and a response time of [VoltageResp]. The current sensing is placed on each [cell|module|pack], its range is from [CurrMin] to [CurrMax], and its resolution is [CurrRes] with an accuracy of [CurrAcc] and a response time of [CurrResp]. The temperature sensing is placed on each [cell|module|pack], its range is from [TempMin] to [TempMax], and its resolution is [TempRes] with an accuracy of [TempAcc] and a response time of [TempResp].</v>
      </c>
      <c r="N9" s="246" t="s">
        <v>275</v>
      </c>
      <c r="O9" s="247" t="s">
        <v>276</v>
      </c>
      <c r="P9" s="110" t="str">
        <f>'Step 2 - Service Definition|2'!H8</f>
        <v>The primary function is to measure the voltage, current, and temperature of the batteries. The voltage sensing is placed on each [cell|module|pack], its range is from [VoltageMin] to [VoltageMax], and its resolution is [VoltageRes] with an accuracy of [VoltageAcc] and a response time of [VoltageResp]. The current sensing is placed on each [cell|module|pack], its range is from [CurrMin] to [CurrMax], and its resolution is [CurrRes] with an accuracy of [CurrAcc] and a response time of [CurrResp]. The temperature sensing is placed on each [cell|module|pack], its range is from [TempMin] to [TempMax], and its resolution is [TempRes] with an accuracy of [TempAcc] and a response time of [TempResp].</v>
      </c>
      <c r="Q9" s="246" t="s">
        <v>275</v>
      </c>
      <c r="R9" s="247" t="s">
        <v>276</v>
      </c>
      <c r="S9" s="110" t="str">
        <f>'Step 2 - Service Definition|2'!I8</f>
        <v>The primary function is to measure the voltage, current, and temperature of the batteries. The voltage sensing is placed on each [cell|module|pack], its range is from [VoltageMin] to [VoltageMax], and its resolution is [VoltageRes] with an accuracy of [VoltageAcc] and a response time of [VoltageResp]. The current sensing is placed on each [cell|module|pack], its range is from [CurrMin] to [CurrMax], and its resolution is [CurrRes] with an accuracy of [CurrAcc] and a response time of [CurrResp]. The temperature sensing is placed on each [cell|module|pack], its range is from [TempMin] to [TempMax], and its resolution is [TempRes] with an accuracy of [TempAcc] and a response time of [TempResp].</v>
      </c>
      <c r="T9" s="246" t="s">
        <v>275</v>
      </c>
      <c r="U9" s="247" t="s">
        <v>276</v>
      </c>
      <c r="V9" s="110" t="str">
        <f>'Step 2 - Service Definition|2'!J8</f>
        <v>The primary function is to measure the voltage, current, and temperature of the batteries. The voltage sensing is placed on each [cell|module|pack], its range is from [VoltageMin] to [VoltageMax], and its resolution is [VoltageRes] with an accuracy of [VoltageAcc] and a response time of [VoltageResp]. The current sensing is placed on each [cell|module|pack], its range is from [CurrMin] to [CurrMax], and its resolution is [CurrRes] with an accuracy of [CurrAcc] and a response time of [CurrResp]. The temperature sensing is placed on each [cell|module|pack], its range is from [TempMin] to [TempMax], and its resolution is [TempRes] with an accuracy of [TempAcc] and a response time of [TempResp].</v>
      </c>
      <c r="W9" s="246" t="s">
        <v>275</v>
      </c>
      <c r="X9" s="247" t="s">
        <v>276</v>
      </c>
      <c r="Y9" s="110" t="str">
        <f>'Step 2 - Service Definition|2'!K8</f>
        <v>The primary function is to measure the voltage, current, and temperature of the batteries. The voltage sensing is placed on each [cell|module|pack], its range is from [VoltageMin] to [VoltageMax], and its resolution is [VoltageRes] with an accuracy of [VoltageAcc] and a response time of [VoltageResp]. The current sensing is placed on each [cell|module|pack], its range is from [CurrMin] to [CurrMax], and its resolution is [CurrRes] with an accuracy of [CurrAcc] and a response time of [CurrResp]. The temperature sensing is placed on each [cell|module|pack], its range is from [TempMin] to [TempMax], and its resolution is [TempRes] with an accuracy of [TempAcc] and a response time of [TempResp].</v>
      </c>
      <c r="Z9" s="246" t="s">
        <v>275</v>
      </c>
      <c r="AA9" s="247" t="s">
        <v>276</v>
      </c>
      <c r="AB9" s="57"/>
    </row>
    <row r="10" spans="1:50" ht="255">
      <c r="A10" s="417"/>
      <c r="B10" s="392" t="s">
        <v>33</v>
      </c>
      <c r="C10" s="102" t="str">
        <f>'Step 1 - System Definition'!O8</f>
        <v>Battery Thermal Regulation</v>
      </c>
      <c r="D10" s="108" t="str">
        <f>'Step 2 - Service Definition|2'!D9</f>
        <v>The primary function is to maintain uniform temperature of the battery cells.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below).</v>
      </c>
      <c r="E10" s="240" t="s">
        <v>275</v>
      </c>
      <c r="F10" s="245" t="s">
        <v>277</v>
      </c>
      <c r="G10" s="249" t="str">
        <f>'Step 2 - Service Definition|2'!E9</f>
        <v>The primary function is to maintain uniform temperature of the battery cells.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below).</v>
      </c>
      <c r="H10" s="240" t="s">
        <v>275</v>
      </c>
      <c r="I10" s="245" t="s">
        <v>277</v>
      </c>
      <c r="J10" s="108" t="str">
        <f>'Step 2 - Service Definition|2'!F9</f>
        <v>The primary function is to maintain uniform temperature of the battery cells.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below).</v>
      </c>
      <c r="K10" s="240" t="s">
        <v>275</v>
      </c>
      <c r="L10" s="245" t="s">
        <v>277</v>
      </c>
      <c r="M10" s="108" t="str">
        <f>'Step 2 - Service Definition|2'!G9</f>
        <v>The primary function is to maintain uniform temperature of the battery cells.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below).</v>
      </c>
      <c r="N10" s="240" t="s">
        <v>275</v>
      </c>
      <c r="O10" s="245" t="s">
        <v>277</v>
      </c>
      <c r="P10" s="108" t="str">
        <f>'Step 2 - Service Definition|2'!H9</f>
        <v>The primary function is to maintain uniform temperature of the battery cells.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below).</v>
      </c>
      <c r="Q10" s="240" t="s">
        <v>275</v>
      </c>
      <c r="R10" s="245" t="s">
        <v>277</v>
      </c>
      <c r="S10" s="108" t="str">
        <f>'Step 2 - Service Definition|2'!I9</f>
        <v>The primary function is to maintain uniform temperature of the battery cells.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below).</v>
      </c>
      <c r="T10" s="240" t="s">
        <v>275</v>
      </c>
      <c r="U10" s="245" t="s">
        <v>277</v>
      </c>
      <c r="V10" s="108" t="str">
        <f>'Step 2 - Service Definition|2'!J9</f>
        <v>The primary function is to maintain uniform temperature of the battery cells.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below).</v>
      </c>
      <c r="W10" s="240" t="s">
        <v>275</v>
      </c>
      <c r="X10" s="245" t="s">
        <v>277</v>
      </c>
      <c r="Y10" s="108" t="str">
        <f>'Step 2 - Service Definition|2'!K9</f>
        <v>The primary function is to maintain uniform temperature of the battery cells.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below).</v>
      </c>
      <c r="Z10" s="240" t="s">
        <v>275</v>
      </c>
      <c r="AA10" s="245" t="s">
        <v>277</v>
      </c>
      <c r="AB10" s="57"/>
    </row>
    <row r="11" spans="1:50" ht="255">
      <c r="A11" s="417"/>
      <c r="B11" s="390"/>
      <c r="C11" s="103" t="str">
        <f>'Step 1 - System Definition'!O9</f>
        <v>Rack Thermal Regulation</v>
      </c>
      <c r="D11" s="109" t="str">
        <f>'Step 2 - Service Definition|2'!D10</f>
        <v>The primary function is to maintain uniform temperature of the battery rack (i.e. container) container that holds a set of battery packs.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v>
      </c>
      <c r="E11" s="242" t="s">
        <v>275</v>
      </c>
      <c r="F11" s="244" t="s">
        <v>277</v>
      </c>
      <c r="G11" s="250" t="str">
        <f>'Step 2 - Service Definition|2'!E10</f>
        <v>The primary function is to maintain uniform temperature of the battery rack (i.e. container) container that holds a set of battery packs.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v>
      </c>
      <c r="H11" s="242" t="s">
        <v>275</v>
      </c>
      <c r="I11" s="244" t="s">
        <v>277</v>
      </c>
      <c r="J11" s="109" t="str">
        <f>'Step 2 - Service Definition|2'!F10</f>
        <v>The primary function is to maintain uniform temperature of the battery rack (i.e. container) container that holds a set of battery packs.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v>
      </c>
      <c r="K11" s="242" t="s">
        <v>275</v>
      </c>
      <c r="L11" s="244" t="s">
        <v>277</v>
      </c>
      <c r="M11" s="109" t="str">
        <f>'Step 2 - Service Definition|2'!G10</f>
        <v>The primary function is to maintain uniform temperature of the battery rack (i.e. container) container that holds a set of battery packs.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v>
      </c>
      <c r="N11" s="242" t="s">
        <v>275</v>
      </c>
      <c r="O11" s="244" t="s">
        <v>277</v>
      </c>
      <c r="P11" s="109" t="str">
        <f>'Step 2 - Service Definition|2'!H10</f>
        <v>The primary function is to maintain uniform temperature of the battery rack (i.e. container) container that holds a set of battery packs.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v>
      </c>
      <c r="Q11" s="242" t="s">
        <v>275</v>
      </c>
      <c r="R11" s="244" t="s">
        <v>277</v>
      </c>
      <c r="S11" s="109" t="str">
        <f>'Step 2 - Service Definition|2'!I10</f>
        <v>The primary function is to maintain uniform temperature of the battery rack (i.e. container) container that holds a set of battery packs.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v>
      </c>
      <c r="T11" s="242" t="s">
        <v>275</v>
      </c>
      <c r="U11" s="244" t="s">
        <v>277</v>
      </c>
      <c r="V11" s="109" t="str">
        <f>'Step 2 - Service Definition|2'!J10</f>
        <v>The primary function is to maintain uniform temperature of the battery rack (i.e. container) container that holds a set of battery packs.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v>
      </c>
      <c r="W11" s="242" t="s">
        <v>275</v>
      </c>
      <c r="X11" s="244" t="s">
        <v>277</v>
      </c>
      <c r="Y11" s="109" t="str">
        <f>'Step 2 - Service Definition|2'!K10</f>
        <v>The primary function is to maintain uniform temperature of the battery rack (i.e. container) container that holds a set of battery packs.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v>
      </c>
      <c r="Z11" s="242" t="s">
        <v>275</v>
      </c>
      <c r="AA11" s="244" t="s">
        <v>277</v>
      </c>
      <c r="AB11" s="57"/>
    </row>
    <row r="12" spans="1:50" ht="255">
      <c r="A12" s="417"/>
      <c r="B12" s="390"/>
      <c r="C12" s="103" t="str">
        <f>'Step 1 - System Definition'!O10</f>
        <v>Container Thermal Regulation</v>
      </c>
      <c r="D12" s="109" t="str">
        <f>'Step 2 - Service Definition|2'!D11</f>
        <v>The primary function is to maintain uniform temperature of the containers that contains the Power Conversion System (PCS) and/or Controller Cabinet.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above).</v>
      </c>
      <c r="E12" s="242" t="s">
        <v>275</v>
      </c>
      <c r="F12" s="244" t="s">
        <v>277</v>
      </c>
      <c r="G12" s="250" t="str">
        <f>'Step 2 - Service Definition|2'!E11</f>
        <v>The primary function is to maintain uniform temperature of the containers that contains the Power Conversion System (PCS) and/or Controller Cabinet.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above).</v>
      </c>
      <c r="H12" s="242" t="s">
        <v>275</v>
      </c>
      <c r="I12" s="244" t="s">
        <v>277</v>
      </c>
      <c r="J12" s="109" t="str">
        <f>'Step 2 - Service Definition|2'!F11</f>
        <v>The primary function is to maintain uniform temperature of the containers that contains the Power Conversion System (PCS) and/or Controller Cabinet.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above).</v>
      </c>
      <c r="K12" s="242" t="s">
        <v>275</v>
      </c>
      <c r="L12" s="244" t="s">
        <v>277</v>
      </c>
      <c r="M12" s="109" t="str">
        <f>'Step 2 - Service Definition|2'!G11</f>
        <v>The primary function is to maintain uniform temperature of the containers that contains the Power Conversion System (PCS) and/or Controller Cabinet.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above).</v>
      </c>
      <c r="N12" s="242" t="s">
        <v>275</v>
      </c>
      <c r="O12" s="244" t="s">
        <v>277</v>
      </c>
      <c r="P12" s="109" t="str">
        <f>'Step 2 - Service Definition|2'!H11</f>
        <v>The primary function is to maintain uniform temperature of the containers that contains the Power Conversion System (PCS) and/or Controller Cabinet.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above).</v>
      </c>
      <c r="Q12" s="242" t="s">
        <v>275</v>
      </c>
      <c r="R12" s="244" t="s">
        <v>277</v>
      </c>
      <c r="S12" s="109" t="str">
        <f>'Step 2 - Service Definition|2'!I11</f>
        <v>The primary function is to maintain uniform temperature of the containers that contains the Power Conversion System (PCS) and/or Controller Cabinet.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above).</v>
      </c>
      <c r="T12" s="242" t="s">
        <v>275</v>
      </c>
      <c r="U12" s="244" t="s">
        <v>277</v>
      </c>
      <c r="V12" s="109" t="str">
        <f>'Step 2 - Service Definition|2'!J11</f>
        <v>The primary function is to maintain uniform temperature of the containers that contains the Power Conversion System (PCS) and/or Controller Cabinet.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above).</v>
      </c>
      <c r="W12" s="242" t="s">
        <v>275</v>
      </c>
      <c r="X12" s="244" t="s">
        <v>277</v>
      </c>
      <c r="Y12" s="109" t="str">
        <f>'Step 2 - Service Definition|2'!K11</f>
        <v>The primary function is to maintain uniform temperature of the containers that contains the Power Conversion System (PCS) and/or Controller Cabinet. This TMS level operates via [active|passive] means by [both|removing excess heat|actively warming]. The method of temperature regulation is achieved by [sinks|forced air|liquid|phase change materials|thermoelectric|...]. Temperature regulation is achieved using these [list the materials and coolants involved]. This [is|is not] part of a larger TMS system (see other TMS components above).</v>
      </c>
      <c r="Z12" s="242" t="s">
        <v>275</v>
      </c>
      <c r="AA12" s="244" t="s">
        <v>277</v>
      </c>
      <c r="AB12" s="57"/>
    </row>
    <row r="13" spans="1:50" ht="270.75" thickBot="1">
      <c r="A13" s="417"/>
      <c r="B13" s="391"/>
      <c r="C13" s="104" t="str">
        <f>'Step 1 - System Definition'!O11</f>
        <v>Fire Protection</v>
      </c>
      <c r="D13" s="110" t="str">
        <f>'Step 2 - Service Definition|2'!D12</f>
        <v>The primary function is to detect and suppress fires due to high energy densities and potential for thermal runaway. The timely identification of fire uses [smoke|heat|gas|all] methods. When combating a fire, the suppression methods to extinguish and cool are [chemical|inert gas|water|combination]. The response time between detection and activating suppression is [X] seconds. Alarm signals are communicated to these components: [list]. Suppression activation signals are communicated to these components: [list]. Fire protection system status signals are communicated to these components: [list].</v>
      </c>
      <c r="E13" s="246" t="s">
        <v>275</v>
      </c>
      <c r="F13" s="247" t="s">
        <v>277</v>
      </c>
      <c r="G13" s="251" t="str">
        <f>'Step 2 - Service Definition|2'!E12</f>
        <v>The primary function is to detect and suppress fires due to high energy densities and potential for thermal runaway. The timely identification of fire uses [smoke|heat|gas|all] methods. When combating a fire, the suppression methods to extinguish and cool are [chemical|inert gas|water|combination]. The response time between detection and activating suppression is [X] seconds. Alarm signals are communicated to these components: [list]. Suppression activation signals are communicated to these components: [list]. Fire protection system status signals are communicated to these components: [list].</v>
      </c>
      <c r="H13" s="246" t="s">
        <v>275</v>
      </c>
      <c r="I13" s="247" t="s">
        <v>277</v>
      </c>
      <c r="J13" s="110" t="str">
        <f>'Step 2 - Service Definition|2'!F12</f>
        <v>The primary function is to detect and suppress fires due to high energy densities and potential for thermal runaway. The timely identification of fire uses [smoke|heat|gas|all] methods. When combating a fire, the suppression methods to extinguish and cool are [chemical|inert gas|water|combination]. The response time between detection and activating suppression is [X] seconds. Alarm signals are communicated to these components: [list]. Suppression activation signals are communicated to these components: [list]. Fire protection system status signals are communicated to these components: [list].</v>
      </c>
      <c r="K13" s="246" t="s">
        <v>275</v>
      </c>
      <c r="L13" s="247" t="s">
        <v>277</v>
      </c>
      <c r="M13" s="110" t="str">
        <f>'Step 2 - Service Definition|2'!G12</f>
        <v>The primary function is to detect and suppress fires due to high energy densities and potential for thermal runaway. The timely identification of fire uses [smoke|heat|gas|all] methods. When combating a fire, the suppression methods to extinguish and cool are [chemical|inert gas|water|combination]. The response time between detection and activating suppression is [X] seconds. Alarm signals are communicated to these components: [list]. Suppression activation signals are communicated to these components: [list]. Fire protection system status signals are communicated to these components: [list].</v>
      </c>
      <c r="N13" s="246" t="s">
        <v>275</v>
      </c>
      <c r="O13" s="247" t="s">
        <v>277</v>
      </c>
      <c r="P13" s="110" t="str">
        <f>'Step 2 - Service Definition|2'!H12</f>
        <v>The primary function is to detect and suppress fires due to high energy densities and potential for thermal runaway. The timely identification of fire uses [smoke|heat|gas|all] methods. When combating a fire, the suppression methods to extinguish and cool are [chemical|inert gas|water|combination]. The response time between detection and activating suppression is [X] seconds. Alarm signals are communicated to these components: [list]. Suppression activation signals are communicated to these components: [list]. Fire protection system status signals are communicated to these components: [list].</v>
      </c>
      <c r="Q13" s="246" t="s">
        <v>275</v>
      </c>
      <c r="R13" s="247" t="s">
        <v>277</v>
      </c>
      <c r="S13" s="110" t="str">
        <f>'Step 2 - Service Definition|2'!I12</f>
        <v>The primary function is to detect and suppress fires due to high energy densities and potential for thermal runaway. The timely identification of fire uses [smoke|heat|gas|all] methods. When combating a fire, the suppression methods to extinguish and cool are [chemical|inert gas|water|combination]. The response time between detection and activating suppression is [X] seconds. Alarm signals are communicated to these components: [list]. Suppression activation signals are communicated to these components: [list]. Fire protection system status signals are communicated to these components: [list].</v>
      </c>
      <c r="T13" s="246" t="s">
        <v>275</v>
      </c>
      <c r="U13" s="247" t="s">
        <v>277</v>
      </c>
      <c r="V13" s="110" t="str">
        <f>'Step 2 - Service Definition|2'!J12</f>
        <v>The primary function is to detect and suppress fires due to high energy densities and potential for thermal runaway. The timely identification of fire uses [smoke|heat|gas|all] methods. When combating a fire, the suppression methods to extinguish and cool are [chemical|inert gas|water|combination]. The response time between detection and activating suppression is [X] seconds. Alarm signals are communicated to these components: [list]. Suppression activation signals are communicated to these components: [list]. Fire protection system status signals are communicated to these components: [list].</v>
      </c>
      <c r="W13" s="246" t="s">
        <v>275</v>
      </c>
      <c r="X13" s="247" t="s">
        <v>277</v>
      </c>
      <c r="Y13" s="110" t="str">
        <f>'Step 2 - Service Definition|2'!K12</f>
        <v>The primary function is to detect and suppress fires due to high energy densities and potential for thermal runaway. The timely identification of fire uses [smoke|heat|gas|all] methods. When combating a fire, the suppression methods to extinguish and cool are [chemical|inert gas|water|combination]. The response time between detection and activating suppression is [X] seconds. Alarm signals are communicated to these components: [list]. Suppression activation signals are communicated to these components: [list]. Fire protection system status signals are communicated to these components: [list].</v>
      </c>
      <c r="Z13" s="246" t="s">
        <v>275</v>
      </c>
      <c r="AA13" s="247" t="s">
        <v>277</v>
      </c>
      <c r="AB13" s="57"/>
    </row>
    <row r="14" spans="1:50" ht="409.6" thickBot="1">
      <c r="A14" s="417"/>
      <c r="B14" s="42" t="s">
        <v>34</v>
      </c>
      <c r="C14" s="105" t="str">
        <f>'Step 1 - System Definition'!O12</f>
        <v>Inverter(s)</v>
      </c>
      <c r="D14" s="230" t="str">
        <f>'Step 2 - Service Definition|2'!D13</f>
        <v>The primary function is to interface the BESS with the electrical grid or load such that rapid charge (absorbing excess energy to slow down frequency rise) or discharge (supplying energy to boost a falling frequency) to help maintain grid frequency within the required range. The inverter has the following power rating: [powerRating]. The response time for this mode of operation is [modeResponseTime]. The inverter performs this action: [action] when dealing with the heat generated during this mode of operation and is meant to operate in this range: [TempMin] to [TempMax]. The inverter has the following grid support features: [list features here (i.e. low/high voltage ride-through, phase imbalance correction, etc.)]. The number of inverters are connected to support this mode of operation is [#]. The following setpoints are used to control this mode of operation: [list setpoints here]. The inverter provides sensed values to these components: [list components here], and the inverter receives commands from these components: [list components here].</v>
      </c>
      <c r="E14" s="283" t="s">
        <v>275</v>
      </c>
      <c r="F14" s="284" t="s">
        <v>276</v>
      </c>
      <c r="G14" s="252" t="str">
        <f>'Step 2 - Service Definition|2'!E13</f>
        <v>The primary function is to interface the BESS with the electrical grid or load such that reactive power (VARs) are injected into the grid to support voltage levels without necessarily affecting real power flow, or absorb reactive power if the voltage is too high. The inverter has the following power rating: [powerRating]. The response time for this mode of operation is [modeResponseTime]. The inverter performs this action: [action] when dealing with the heat generated during this mode of operation and is meant to operate in this range: [TempMin] to [TempMax]. The inverter has the following grid support features: [list features here (i.e. low/high voltage ride-through, phase imbalance correction, etc.)]. The number of inverters are connected to support this mode of operation is [#]. The following setpoints are used to control this mode of operation: [list setpoints here]. The inverter provides sensed values to these components: [list components here], and the inverter receives commands from these components: [list components here].</v>
      </c>
      <c r="H14" s="283" t="s">
        <v>275</v>
      </c>
      <c r="I14" s="284" t="s">
        <v>276</v>
      </c>
      <c r="J14" s="230" t="str">
        <f>'Step 2 - Service Definition|2'!F13</f>
        <v>The primary function is to interface the BESS with the electrical grid or load such that standby can rapidly ramp up power output to the grid during sudden increases in demand, or provide immediate response to replace lost generation capacity. The inverter has the following power rating: [powerRating]. The response time for this mode of operation is [modeResponseTime]. The inverter performs this action: [action] when dealing with the heat generated during this mode of operation and is meant to operate in this range: [TempMin] to [TempMax]. The inverter has the following grid support features: [list features here (i.e. low/high voltage ride-through, phase imbalance correction, etc.)]. The number of inverters are connected to support this mode of operation is [#]. The following setpoints are used to control this mode of operation: [list setpoints here]. The inverter provides sensed values to these components: [list components here], and the inverter receives commands from these components: [list components here].</v>
      </c>
      <c r="K14" s="283" t="s">
        <v>275</v>
      </c>
      <c r="L14" s="284" t="s">
        <v>276</v>
      </c>
      <c r="M14" s="230" t="str">
        <f>'Step 2 - Service Definition|2'!G13</f>
        <v>The primary function is to interface the BESS with the electrical grid or load such that adjusts the discharge rate of the battery to follow the fluctuations in demand, smoothing out the variability of load on the grid. The inverter has the following power rating: [powerRating]. The response time for this mode of operation is [modeResponseTime]. The inverter performs this action: [action] when dealing with the heat generated during this mode of operation and is meant to operate in this range: [TempMin] to [TempMax]. The inverter has the following grid support features: [list features here (i.e. low/high voltage ride-through, phase imbalance correction, etc.)]. The number of inverters are connected to support this mode of operation is [#]. The following setpoints are used to control this mode of operation: [list setpoints here]. The inverter provides sensed values to these components: [list components here], and the inverter receives commands from these components: [list components here].</v>
      </c>
      <c r="N14" s="283" t="s">
        <v>275</v>
      </c>
      <c r="O14" s="284" t="s">
        <v>276</v>
      </c>
      <c r="P14" s="230" t="str">
        <f>'Step 2 - Service Definition|2'!H13</f>
        <v>The primary function is to interface the BESS with the electrical grid or load such that power is suppled during times of peak load to reduce the demand on traditional power plants, lowering the peak load and potentially reducing energy costs. The inverter has the following power rating: [powerRating]. The response time for this mode of operation is [modeResponseTime]. The inverter performs this action: [action] when dealing with the heat generated during this mode of operation and is meant to operate in this range: [TempMin] to [TempMax]. The inverter has the following grid support features: [list features here (i.e. low/high voltage ride-through, phase imbalance correction, etc.)]. The number of inverters are connected to support this mode of operation is [#]. The following setpoints are used to control this mode of operation: [list setpoints here]. The inverter provides sensed values to these components: [list components here], and the inverter receives commands from these components: [list components here].</v>
      </c>
      <c r="Q14" s="283" t="s">
        <v>275</v>
      </c>
      <c r="R14" s="284" t="s">
        <v>276</v>
      </c>
      <c r="S14" s="230" t="str">
        <f>'Step 2 - Service Definition|2'!I13</f>
        <v>The primary function is to interface the BESS with the electrical grid or load such that in the event of grid outage, power is supplied to the load, ensuring continuity of serivce. The inverter has the following power rating: [powerRating]. The response time for this mode of operation is [modeResponseTime]. The inverter performs this action: [action] when dealing with the heat generated during this mode of operation and is meant to operate in this range: [TempMin] to [TempMax]. The inverter has the following grid support features: [list features here (i.e. low/high voltage ride-through, phase imbalance correction, etc.)]. The number of inverters are connected to support this mode of operation is [#]. The following setpoints are used to control this mode of operation: [list setpoints here]. The inverter provides sensed values to these components: [list components here], and the inverter receives commands from these components: [list components here].</v>
      </c>
      <c r="T14" s="283" t="s">
        <v>275</v>
      </c>
      <c r="U14" s="284" t="s">
        <v>276</v>
      </c>
      <c r="V14" s="230" t="str">
        <f>'Step 2 - Service Definition|2'!J13</f>
        <v>The primary function is to interface the BESS with the electrical grid or load such that, when the grid has been shut down, initial power needed to start up the grid's power stations. The inverter has the following power rating: [powerRating]. The response time for this mode of operation is [modeResponseTime]. The inverter performs this action: [action] when dealing with the heat generated during this mode of operation and is meant to operate in this range: [TempMin] to [TempMax]. The inverter has the following grid support features: [list features here (i.e. low/high voltage ride-through, phase imbalance correction, etc.)]. The number of inverters are connected to support this mode of operation is [#]. The following setpoints are used to control this mode of operation: [list setpoints here]. The inverter provides sensed values to these components: [list components here], and the inverter receives commands from these components: [list components here].</v>
      </c>
      <c r="W14" s="283" t="s">
        <v>275</v>
      </c>
      <c r="X14" s="284" t="s">
        <v>276</v>
      </c>
      <c r="Y14" s="230" t="str">
        <f>'Step 2 - Service Definition|2'!K13</f>
        <v>The primary function is to interface the BESS with the electrical grid or load such that the necessary voltage and frequency reference to form a microgrid and allowing a group of loads to operate in isolation from the main grid. The inverter has the following power rating: [powerRating]. The response time for this mode of operation is [modeResponseTime]. The inverter performs this action: [action] when dealing with the heat generated during this mode of operation and is meant to operate in this range: [TempMin] to [TempMax]. The inverter has the following grid support features: [list features here (i.e. low/high voltage ride-through, phase imbalance correction, etc.)]. The number of inverters are connected to support this mode of operation is [#]. The following setpoints are used to control this mode of operation: [list setpoints here]. The inverter provides sensed values to these components: [list components here], and the inverter receives commands from these components: [list components here].</v>
      </c>
      <c r="Z14" s="283" t="s">
        <v>275</v>
      </c>
      <c r="AA14" s="284" t="s">
        <v>276</v>
      </c>
      <c r="AB14" s="57"/>
    </row>
    <row r="15" spans="1:50" ht="345">
      <c r="A15" s="417"/>
      <c r="B15" s="398" t="s">
        <v>35</v>
      </c>
      <c r="C15" s="102" t="str">
        <f>'Step 1 - System Definition'!O13</f>
        <v>SCADA Server</v>
      </c>
      <c r="D15" s="108" t="str">
        <f>'Step 2 - Service Definition|2'!D14</f>
        <v>The primary function is to monitor and control the entire BESS portfolio by collecting data from multiple installations and components and execute frequency regulation control commands. The following parameters are communicated to the SCADA server: [list]. The following parameters are sent as commands from the SCADA server to other components: [List (component - parameters, ...)]. Examples of parameters include: contributions to grid frequency stabilization, logging the frequency deviations, the response times of the BESS, and the amount of energy absorbed or discharged during each event, the frequency response setpoints, the compliance with grid operator requests.</v>
      </c>
      <c r="E15" s="240" t="s">
        <v>275</v>
      </c>
      <c r="F15" s="245" t="s">
        <v>278</v>
      </c>
      <c r="G15" s="249" t="str">
        <f>'Step 2 - Service Definition|2'!E14</f>
        <v xml:space="preserve">The primary function is to monitor and control the entire BESS portfolio by collecting data from multiple installations and components and execute voltage support control commands. The following parameters are communicated to the SCADA server: [list]. The following parameters are sent as commands from the SCADA server to other components: [List (component - parameters, ...)]. Examples of parameters include: the voltage levels on the grid, the reactive power provided by the BESS to support these levels, logging the inverter's VAR output, voltage setpoints, the duration and magnitude of voltage support events. </v>
      </c>
      <c r="H15" s="240" t="s">
        <v>275</v>
      </c>
      <c r="I15" s="245" t="s">
        <v>278</v>
      </c>
      <c r="J15" s="108" t="str">
        <f>'Step 2 - Service Definition|2'!F14</f>
        <v>The primary function is to monitor and control the entire BESS portfolio by collecting data from multiple installations and components and execute ramping/spinning reserve control commands. The following parameters are communicated to the SCADA server: [list]. The following parameters are sent as commands from the SCADA server to other components: [List (component - parameters, ...)]. Examples of parameters include: the ramp rates, the power levels that the BESS is capable of delivering on short notice, the reserved power capacity, the response time for deployment, the actual energy output during reserve events.</v>
      </c>
      <c r="K15" s="240" t="s">
        <v>275</v>
      </c>
      <c r="L15" s="245" t="s">
        <v>278</v>
      </c>
      <c r="M15" s="108" t="str">
        <f>'Step 2 - Service Definition|2'!G14</f>
        <v>The primary function is to monitor and control the entire BESS portfolio by collecting data from multiple installations and components and execute load following control commands. The following parameters are communicated to the SCADA server: [list]. The following parameters are sent as commands from the SCADA server to other components: [List (component - parameters, ...)]. Examples of parameters include: real-time load demand, how the BESS output is being adjusted to match the load, detailed load profiles, the tracking accuracy of the BESS, the energy discharged or charged in response to load changes.</v>
      </c>
      <c r="N15" s="240" t="s">
        <v>275</v>
      </c>
      <c r="O15" s="245" t="s">
        <v>278</v>
      </c>
      <c r="P15" s="108" t="str">
        <f>'Step 2 - Service Definition|2'!H14</f>
        <v>The primary function is to monitor and control the entire BESS portfolio by collecting data from multiple installations and components and execute peak shaving control commands. The following parameters are communicated to the SCADA server: [list]. The following parameters are sent as commands from the SCADA server to other components: [List (component - parameters, ...)]. Examples of parameters include: peak demand periods, manages the BESS's discharge to reduce energy consumption during the periods, logging the peak load, the energy discharged to shave the peak, the corresponding reduction in demand charges or avoided costs.</v>
      </c>
      <c r="Q15" s="240" t="s">
        <v>275</v>
      </c>
      <c r="R15" s="245" t="s">
        <v>278</v>
      </c>
      <c r="S15" s="108" t="str">
        <f>'Step 2 - Service Definition|2'!I14</f>
        <v>The primary function is to monitor and control the entire BESS portfolio by collecting data from multiple installations and components and execute backup power control commands. The following parameters are communicated to the SCADA server: [list]. The following parameters are sent as commands from the SCADA server to other components: [List (component - parameters, ...)]. Examples of parameters include: the transition from grid-connected to islanded mode, status of the BESS provisioned power to critical loads during an outage, the battery's State of Charge, the estimated backup duration, the duration and amount of power supplied during backup events. **This may be lost if the communication pathway from the BESS to the SCADA server is lost during backup power periods**</v>
      </c>
      <c r="T15" s="240" t="s">
        <v>275</v>
      </c>
      <c r="U15" s="245" t="s">
        <v>278</v>
      </c>
      <c r="V15" s="108" t="str">
        <f>'Step 2 - Service Definition|2'!J14</f>
        <v>The primary function is to monitor and control the entire BESS portfolio by collecting data from multiple installations and components and execute black start control commands. The following parameters are communicated to the SCADA server: [list]. The following parameters are sent as commands from the SCADA server to other components: [List (component - parameters, ...)]. Examples of parameters include: the steps required to restart portions of the grid using energy from the BESS (the black start procedures), the synchronization to the grid, logging the startup sequence. **This may be lost if the communication pathway from the BESS to the SCADA server is lost during backup power periods**</v>
      </c>
      <c r="W15" s="240" t="s">
        <v>275</v>
      </c>
      <c r="X15" s="245" t="s">
        <v>278</v>
      </c>
      <c r="Y15" s="108" t="str">
        <f>'Step 2 - Service Definition|2'!K14</f>
        <v>The primary function is to monitor and control the entire BESS portfolio by collecting data from multiple installations and components and execute island grid forming control commands. The following parameters are communicated to the SCADA server: [list]. The following parameters are sent as commands from the SCADA server to other components: [List (component - parameters, ...)]. Examples of parameters include: BESS's role in maintaining stable operation of a microgrid, the local grid's frequency and voltage, BESS's contribution to stability, logging any transitions between islanded and grid-connected operations.**This may be lost if the communication pathway from the BESS to the SCADA server is lost during backup power periods**</v>
      </c>
      <c r="Z15" s="240" t="s">
        <v>275</v>
      </c>
      <c r="AA15" s="245" t="s">
        <v>278</v>
      </c>
      <c r="AB15" s="57"/>
    </row>
    <row r="16" spans="1:50" ht="345.75" thickBot="1">
      <c r="A16" s="417"/>
      <c r="B16" s="399"/>
      <c r="C16" s="104" t="str">
        <f>'Step 1 - System Definition'!O14</f>
        <v>Local HMI</v>
      </c>
      <c r="D16" s="110" t="str">
        <f>'Step 2 - Service Definition|2'!D15</f>
        <v>The primary function is to display system information, allow for manual control and adjustment of frequency regulation system parameters, and provide frequency regulation status updates and alarms. The following parameters are communicated to the HMI: [list]. The following parameters are sent as commands from the HMI to other components: [List (component - parameters, ...)]. The local HMI [is able|is not able] to operate without a connection to the SCADA server. Examples of parameters include: grid frequency, SoC of the batteries, power being dispatched or absorbed to maintain frequency, response time settings.</v>
      </c>
      <c r="E16" s="246" t="s">
        <v>275</v>
      </c>
      <c r="F16" s="247" t="s">
        <v>278</v>
      </c>
      <c r="G16" s="251" t="str">
        <f>'Step 2 - Service Definition|2'!E15</f>
        <v>The primary function is to display system information, allow for manual control and adjustment of voltage support system parameters, and provide voltage support status updates and alarms. The following parameters are communicated to the HMI: [list]. The following parameters are sent as commands from the HMI to other components: [List (component - parameters, ...)]. The local HMI [is able|is not able] to operate without a connection to the SCADA server. Examples of parameters include: voltage levels of the grid and batteries, the reactive power being injected or absorbed, voltage threshold control settings, reactive power limits.</v>
      </c>
      <c r="H16" s="246" t="s">
        <v>275</v>
      </c>
      <c r="I16" s="247" t="s">
        <v>278</v>
      </c>
      <c r="J16" s="110" t="str">
        <f>'Step 2 - Service Definition|2'!F15</f>
        <v>The primary function is to display system information, allow for manual control and adjustment of ramping/spinning reserve system parameters, and provide ramping/spinning reserve status updates and alarms. The following parameters are communicated to the HMI: [list]. The following parameters are sent as commands from the HMI to other components: [List (component - parameters, ...)]. The local HMI [is able|is not able] to operate without a connection to the SCADA server. Examples of parameters include: readiness state of the BESS to deliver power, ramp rate settings, reserved power capacity available, dispatch instructions, time required to reach full power, time that reserved power can be maintained.</v>
      </c>
      <c r="K16" s="246" t="s">
        <v>275</v>
      </c>
      <c r="L16" s="247" t="s">
        <v>278</v>
      </c>
      <c r="M16" s="110" t="str">
        <f>'Step 2 - Service Definition|2'!G15</f>
        <v>The primary function is to display system information, allow for manual control and adjustment of load following system parameters, and provide load following status updates and alarms. The following parameters are communicated to the HMI: [list]. The following parameters are sent as commands from the HMI to other components: [List (component - parameters, ...)]. The local HMI [is able|is not able] to operate without a connection to the SCADA server. Examples of parameters include: load profile, power output/input in relation to the load, adjustments made to follow load fluctuations, predictive load changes, controls for load following accuracy and response rates.</v>
      </c>
      <c r="N16" s="246" t="s">
        <v>275</v>
      </c>
      <c r="O16" s="247" t="s">
        <v>278</v>
      </c>
      <c r="P16" s="110" t="str">
        <f>'Step 2 - Service Definition|2'!H15</f>
        <v>The primary function is to display system information, allow for manual control and adjustment of peak shaving system parameters, and provide peak shaving status updates and alarms. The following parameters are communicated to the HMI: [list]. The following parameters are sent as commands from the HMI to other components: [List (component - parameters, ...)]. The local HMI [is able|is not able] to operate without a connection to the SCADA server. Examples of parameters include: peak demand times, contribution (i.e. energy discharged) to meeting the peaks, energy savings achieved, scheduling activities based on trends, control dischange limits.</v>
      </c>
      <c r="Q16" s="246" t="s">
        <v>275</v>
      </c>
      <c r="R16" s="247" t="s">
        <v>278</v>
      </c>
      <c r="S16" s="110" t="str">
        <f>'Step 2 - Service Definition|2'!I15</f>
        <v>The primary function is to display system information, allow for manual control and adjustment of backup power system parameters, and provide backup power status updates and alarms. The following parameters are communicated to the HMI: [list]. The following parameters are sent as commands from the HMI to other components: [List (component - parameters, ...)]. The local HMI [is able|is not able] to operate without a connection to the SCADA server. Examples of parameters include: ability to supply power to the load, duration provided, transitions between grid-connected/islanded operation, State of Charge, backup power delivery, manual initiation of backup power mode.</v>
      </c>
      <c r="T16" s="246" t="s">
        <v>275</v>
      </c>
      <c r="U16" s="247" t="s">
        <v>278</v>
      </c>
      <c r="V16" s="110" t="str">
        <f>'Step 2 - Service Definition|2'!J15</f>
        <v>The primary function is to display system information, allow for manual control and adjustment of black start system parameters, and provide black start status updates and alarms. The following parameters are communicated to the HMI: [list]. The following parameters are sent as commands from the HMI to other components: [List (component - parameters, ...)]. The local HMI [is able|is not able] to operate without a connection to the SCADA server. Examples of parameters include: State of Charge, available power, system readiness, sequence of steps, synchronization status to the grid.</v>
      </c>
      <c r="W16" s="246" t="s">
        <v>275</v>
      </c>
      <c r="X16" s="247" t="s">
        <v>278</v>
      </c>
      <c r="Y16" s="110" t="str">
        <f>'Step 2 - Service Definition|2'!K15</f>
        <v>The primary function is to display system information, allow for manual control and adjustment of island grid forming system parameters, and provide island grid forming status updates and alarms. The following parameters are communicated to the HMI: [list]. The following parameters are sent as commands from the HMI to other components: [List (component - parameters, ...)]. The local HMI [is able|is not able] to operate without a connection to the SCADA server. Examples of parameters include: microgrid's frequency level, microgrid's voltage level, stability controls, role in forming and stablizing the islanded grid, synchronization status to the grid, manual initiation for islanding mode.</v>
      </c>
      <c r="Z16" s="246" t="s">
        <v>275</v>
      </c>
      <c r="AA16" s="247" t="s">
        <v>278</v>
      </c>
      <c r="AB16" s="57"/>
    </row>
    <row r="17" spans="1:28" ht="345">
      <c r="A17" s="417"/>
      <c r="B17" s="398" t="s">
        <v>173</v>
      </c>
      <c r="C17" s="102" t="str">
        <f>'Step 1 - System Definition'!O15</f>
        <v>BESS Controller</v>
      </c>
      <c r="D17" s="108" t="str">
        <f>'Step 2 - Service Definition|2'!D16</f>
        <v>The primary function is to execute the control algorithms that govern the frequency regulation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[Energy Market Pricing|Demand Forecasts|BESS Vendor Support|Third-Party Operators].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E17" s="240" t="s">
        <v>275</v>
      </c>
      <c r="F17" s="245" t="s">
        <v>278</v>
      </c>
      <c r="G17" s="249" t="str">
        <f>'Step 2 - Service Definition|2'!E16</f>
        <v>The primary function is to execute the control algorithms that govern the voltage support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[Energy Market Pricing|Demand Forecasts|BESS Vendor Support|Third-Party Operators].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H17" s="240" t="s">
        <v>275</v>
      </c>
      <c r="I17" s="245" t="s">
        <v>278</v>
      </c>
      <c r="J17" s="108" t="str">
        <f>'Step 2 - Service Definition|2'!F16</f>
        <v>The primary function is to execute the control algorithms that govern the ramping/spinning reserve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[Energy Market Pricing|Demand Forecasts|BESS Vendor Support|Third-Party Operators].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K17" s="240" t="s">
        <v>275</v>
      </c>
      <c r="L17" s="245" t="s">
        <v>278</v>
      </c>
      <c r="M17" s="108" t="str">
        <f>'Step 2 - Service Definition|2'!G16</f>
        <v>The primary function is to execute the control algorithms that govern the load following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[Energy Market Pricing|Demand Forecasts|BESS Vendor Support|Third-Party Operators].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N17" s="240" t="s">
        <v>275</v>
      </c>
      <c r="O17" s="245" t="s">
        <v>278</v>
      </c>
      <c r="P17" s="108" t="str">
        <f>'Step 2 - Service Definition|2'!H16</f>
        <v>The primary function is to execute the control algorithms that govern the peak shaving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[Energy Market Pricing|Demand Forecasts|BESS Vendor Support|Third-Party Operators].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Q17" s="240" t="s">
        <v>275</v>
      </c>
      <c r="R17" s="245" t="s">
        <v>278</v>
      </c>
      <c r="S17" s="108" t="str">
        <f>'Step 2 - Service Definition|2'!I16</f>
        <v>The primary function is to execute the control algorithms that govern the backup power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[Energy Market Pricing|Demand Forecasts|BESS Vendor Support|Third-Party Operators].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T17" s="240" t="s">
        <v>275</v>
      </c>
      <c r="U17" s="245" t="s">
        <v>278</v>
      </c>
      <c r="V17" s="108" t="str">
        <f>'Step 2 - Service Definition|2'!J16</f>
        <v>The primary function is to execute the control algorithms that govern the black start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[Energy Market Pricing|Demand Forecasts|BESS Vendor Support|Third-Party Operators].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W17" s="240" t="s">
        <v>275</v>
      </c>
      <c r="X17" s="245" t="s">
        <v>278</v>
      </c>
      <c r="Y17" s="108" t="str">
        <f>'Step 2 - Service Definition|2'!K16</f>
        <v>The primary function is to execute the control algorithms that govern the island grid forming mode of operation. It interfaces with many of the other components of the BESS, including the battery subsystems, the power conversion system (PCS), the thermal management system (TMS), and the energy management system (EMS), to ensure that the BESS operates effectively. The BESS controller has the following external connections: [Energy Market Pricing|Demand Forecasts|BESS Vendor Support|Third-Party Operators].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Z17" s="240" t="s">
        <v>275</v>
      </c>
      <c r="AA17" s="245" t="s">
        <v>278</v>
      </c>
      <c r="AB17" s="57"/>
    </row>
    <row r="18" spans="1:28" ht="360">
      <c r="A18" s="417"/>
      <c r="B18" s="400"/>
      <c r="C18" s="103" t="str">
        <f>'Step 1 - System Definition'!O16</f>
        <v>Site Controller</v>
      </c>
      <c r="D18" s="109" t="str">
        <f>'Step 2 - Service Definition|2'!D17</f>
        <v>The primary function is to execute the frequency regulation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[Energy Market Pricing|Demand Forecasts|Vendor Support|Third-Party Operators|Other Energy Sources].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E18" s="242" t="s">
        <v>275</v>
      </c>
      <c r="F18" s="244" t="s">
        <v>278</v>
      </c>
      <c r="G18" s="250" t="str">
        <f>'Step 2 - Service Definition|2'!E17</f>
        <v>The primary function is to execute the voltage support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[Energy Market Pricing|Demand Forecasts|Vendor Support|Third-Party Operators|Other Energy Sources].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H18" s="242" t="s">
        <v>275</v>
      </c>
      <c r="I18" s="244" t="s">
        <v>278</v>
      </c>
      <c r="J18" s="109" t="str">
        <f>'Step 2 - Service Definition|2'!F17</f>
        <v>The primary function is to execute the ramping/spinning reserve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[Energy Market Pricing|Demand Forecasts|Vendor Support|Third-Party Operators|Other Energy Sources].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K18" s="242" t="s">
        <v>275</v>
      </c>
      <c r="L18" s="244" t="s">
        <v>278</v>
      </c>
      <c r="M18" s="109" t="str">
        <f>'Step 2 - Service Definition|2'!G17</f>
        <v>The primary function is to execute the load following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[Energy Market Pricing|Demand Forecasts|Vendor Support|Third-Party Operators|Other Energy Sources].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N18" s="242" t="s">
        <v>275</v>
      </c>
      <c r="O18" s="244" t="s">
        <v>278</v>
      </c>
      <c r="P18" s="109" t="str">
        <f>'Step 2 - Service Definition|2'!H17</f>
        <v>The primary function is to execute the peak shaving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[Energy Market Pricing|Demand Forecasts|Vendor Support|Third-Party Operators|Other Energy Sources].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Q18" s="242" t="s">
        <v>275</v>
      </c>
      <c r="R18" s="244" t="s">
        <v>278</v>
      </c>
      <c r="S18" s="109" t="str">
        <f>'Step 2 - Service Definition|2'!I17</f>
        <v>The primary function is to execute the backup power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[Energy Market Pricing|Demand Forecasts|Vendor Support|Third-Party Operators|Other Energy Sources].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T18" s="242" t="s">
        <v>275</v>
      </c>
      <c r="U18" s="244" t="s">
        <v>278</v>
      </c>
      <c r="V18" s="109" t="str">
        <f>'Step 2 - Service Definition|2'!J17</f>
        <v>The primary function is to execute the black start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[Energy Market Pricing|Demand Forecasts|Vendor Support|Third-Party Operators|Other Energy Sources].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W18" s="242" t="s">
        <v>275</v>
      </c>
      <c r="X18" s="244" t="s">
        <v>278</v>
      </c>
      <c r="Y18" s="109" t="str">
        <f>'Step 2 - Service Definition|2'!K17</f>
        <v>The primary function is to execute the island grid forming coordination of individual BESS installations in order to achieve harmony in delivering desired objectives. It oftens acts as the interface with the broader electrical grid, site instructure, and other energy resources (like PV or wind turbines) to optimize the performance of the mode of operation. The BESS controller has the following external connections: [Energy Market Pricing|Demand Forecasts|Vendor Support|Third-Party Operators|Other Energy Sources]. The BESS controller [is|is not] able to be reconfigured [remotely|locally-only]. The controller uses the following protocols to communicate monitoring and control information: [REST, DNP3, ModBus, IEC 61850, ...]. The following parameters are used in this controller for this mode of operation: [List parameters].</v>
      </c>
      <c r="Z18" s="242" t="s">
        <v>275</v>
      </c>
      <c r="AA18" s="244" t="s">
        <v>278</v>
      </c>
      <c r="AB18" s="57"/>
    </row>
    <row r="19" spans="1:28" ht="409.5">
      <c r="A19" s="417"/>
      <c r="B19" s="400"/>
      <c r="C19" s="103" t="str">
        <f>'Step 1 - System Definition'!O17</f>
        <v>Battery Meter(s)</v>
      </c>
      <c r="D19" s="109" t="str">
        <f>'Step 2 - Service Definition|2'!D18</f>
        <v>The primary function is to measure the direct electrical input and output of the BESS system,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BESS Network Switch(s)**</v>
      </c>
      <c r="E19" s="242" t="s">
        <v>275</v>
      </c>
      <c r="F19" s="244" t="s">
        <v>276</v>
      </c>
      <c r="G19" s="250" t="str">
        <f>'Step 2 - Service Definition|2'!E18</f>
        <v>The primary function is to measure the direct electrical input and output of the BESS system,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BESS Network Switch(s)**</v>
      </c>
      <c r="H19" s="242" t="s">
        <v>275</v>
      </c>
      <c r="I19" s="244" t="s">
        <v>276</v>
      </c>
      <c r="J19" s="109" t="str">
        <f>'Step 2 - Service Definition|2'!F18</f>
        <v>The primary function is to measure the direct electrical input and output of the BESS system,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BESS Network Switch(s)**</v>
      </c>
      <c r="K19" s="242" t="s">
        <v>275</v>
      </c>
      <c r="L19" s="244" t="s">
        <v>276</v>
      </c>
      <c r="M19" s="109" t="str">
        <f>'Step 2 - Service Definition|2'!G18</f>
        <v>The primary function is to measure the direct electrical input and output of the BESS system,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BESS Network Switch(s)**</v>
      </c>
      <c r="N19" s="242" t="s">
        <v>275</v>
      </c>
      <c r="O19" s="244" t="s">
        <v>276</v>
      </c>
      <c r="P19" s="109" t="str">
        <f>'Step 2 - Service Definition|2'!H18</f>
        <v>The primary function is to measure the direct electrical input and output of the BESS system,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BESS Network Switch(s)**</v>
      </c>
      <c r="Q19" s="242" t="s">
        <v>275</v>
      </c>
      <c r="R19" s="244" t="s">
        <v>276</v>
      </c>
      <c r="S19" s="109" t="str">
        <f>'Step 2 - Service Definition|2'!I18</f>
        <v>The primary function is to measure the direct electrical input and output of the BESS system,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BESS Network Switch(s)**</v>
      </c>
      <c r="T19" s="242" t="s">
        <v>275</v>
      </c>
      <c r="U19" s="244" t="s">
        <v>276</v>
      </c>
      <c r="V19" s="109" t="str">
        <f>'Step 2 - Service Definition|2'!J18</f>
        <v>The primary function is to measure the direct electrical input and output of the BESS system,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BESS Network Switch(s)**</v>
      </c>
      <c r="W19" s="242" t="s">
        <v>275</v>
      </c>
      <c r="X19" s="244" t="s">
        <v>276</v>
      </c>
      <c r="Y19" s="109" t="str">
        <f>'Step 2 - Service Definition|2'!K18</f>
        <v>The primary function is to measure the direct electrical input and output of the BESS system,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BESS Network Switch(s)**</v>
      </c>
      <c r="Z19" s="242" t="s">
        <v>275</v>
      </c>
      <c r="AA19" s="244" t="s">
        <v>276</v>
      </c>
      <c r="AB19" s="57"/>
    </row>
    <row r="20" spans="1:28" ht="409.6" thickBot="1">
      <c r="A20" s="417"/>
      <c r="B20" s="399"/>
      <c r="C20" s="104" t="str">
        <f>'Step 1 - System Definition'!O18</f>
        <v>Site/Load Meter(s)</v>
      </c>
      <c r="D20" s="110" t="str">
        <f>'Step 2 - Service Definition|2'!D19</f>
        <v xml:space="preserve">The primary function is to measure the overall power flows at the Point of Common Coupling (PCC), which is the interface between BESS (and any local loads) and the external power grid.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 </v>
      </c>
      <c r="E20" s="246" t="s">
        <v>275</v>
      </c>
      <c r="F20" s="247" t="s">
        <v>276</v>
      </c>
      <c r="G20" s="251" t="str">
        <f>'Step 2 - Service Definition|2'!E19</f>
        <v xml:space="preserve">The primary function is to measure the overall power flows at the Point of Common Coupling (PCC), which is the interface between BESS (and any local loads) and the external power grid.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 </v>
      </c>
      <c r="H20" s="246" t="s">
        <v>275</v>
      </c>
      <c r="I20" s="247" t="s">
        <v>276</v>
      </c>
      <c r="J20" s="110" t="str">
        <f>'Step 2 - Service Definition|2'!F19</f>
        <v xml:space="preserve">The primary function is to measure the overall power flows at the Point of Common Coupling (PCC), which is the interface between BESS (and any local loads) and the external power grid.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 </v>
      </c>
      <c r="K20" s="246" t="s">
        <v>275</v>
      </c>
      <c r="L20" s="247" t="s">
        <v>276</v>
      </c>
      <c r="M20" s="110" t="str">
        <f>'Step 2 - Service Definition|2'!G19</f>
        <v xml:space="preserve">The primary function is to measure the overall power flows at the Point of Common Coupling (PCC), which is the interface between BESS (and any local loads) and the external power grid.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 </v>
      </c>
      <c r="N20" s="246" t="s">
        <v>275</v>
      </c>
      <c r="O20" s="247" t="s">
        <v>276</v>
      </c>
      <c r="P20" s="110" t="str">
        <f>'Step 2 - Service Definition|2'!H19</f>
        <v xml:space="preserve">The primary function is to measure the overall power flows at the Point of Common Coupling (PCC), which is the interface between BESS (and any local loads) and the external power grid.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 </v>
      </c>
      <c r="Q20" s="246" t="s">
        <v>275</v>
      </c>
      <c r="R20" s="247" t="s">
        <v>276</v>
      </c>
      <c r="S20" s="110" t="str">
        <f>'Step 2 - Service Definition|2'!I19</f>
        <v xml:space="preserve">The primary function is to measure the overall power flows at the Point of Common Coupling (PCC), which is the interface between BESS (and any local loads) and the external power grid.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 </v>
      </c>
      <c r="T20" s="246" t="s">
        <v>275</v>
      </c>
      <c r="U20" s="247" t="s">
        <v>276</v>
      </c>
      <c r="V20" s="110" t="str">
        <f>'Step 2 - Service Definition|2'!J19</f>
        <v xml:space="preserve">The primary function is to measure the overall power flows at the Point of Common Coupling (PCC), which is the interface between BESS (and any local loads) and the external power grid.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 </v>
      </c>
      <c r="W20" s="246" t="s">
        <v>275</v>
      </c>
      <c r="X20" s="247" t="s">
        <v>276</v>
      </c>
      <c r="Y20" s="110" t="str">
        <f>'Step 2 - Service Definition|2'!K19</f>
        <v xml:space="preserve">The primary function is to measure the overall power flows at the Point of Common Coupling (PCC), which is the interface between BESS (and any local loads) and the external power grid.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 </v>
      </c>
      <c r="Z20" s="246" t="s">
        <v>275</v>
      </c>
      <c r="AA20" s="247" t="s">
        <v>276</v>
      </c>
      <c r="AB20" s="57"/>
    </row>
    <row r="21" spans="1:28" ht="345">
      <c r="A21" s="417"/>
      <c r="B21" s="398" t="s">
        <v>17</v>
      </c>
      <c r="C21" s="102" t="str">
        <f>'Step 1 - System Definition'!O19</f>
        <v>BESS Network Switch(s)</v>
      </c>
      <c r="D21" s="108" t="str">
        <f>'Step 2 - Service Definition|2'!D20</f>
        <v xml:space="preserve">The primary function is to facilitate the transfer of data between the BESS Controller, the TMS, the PCS, the BMS, and any other integrated systems or sensors (such as the Battery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v>
      </c>
      <c r="E21" s="240" t="s">
        <v>275</v>
      </c>
      <c r="F21" s="245" t="s">
        <v>278</v>
      </c>
      <c r="G21" s="249" t="str">
        <f>'Step 2 - Service Definition|2'!E20</f>
        <v xml:space="preserve">The primary function is to facilitate the transfer of data between the BESS Controller, the TMS, the PCS, the BMS, and any other integrated systems or sensors (such as the Battery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v>
      </c>
      <c r="H21" s="240" t="s">
        <v>275</v>
      </c>
      <c r="I21" s="245" t="s">
        <v>278</v>
      </c>
      <c r="J21" s="108" t="str">
        <f>'Step 2 - Service Definition|2'!F20</f>
        <v xml:space="preserve">The primary function is to facilitate the transfer of data between the BESS Controller, the TMS, the PCS, the BMS, and any other integrated systems or sensors (such as the Battery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v>
      </c>
      <c r="K21" s="240" t="s">
        <v>275</v>
      </c>
      <c r="L21" s="245" t="s">
        <v>278</v>
      </c>
      <c r="M21" s="108" t="str">
        <f>'Step 2 - Service Definition|2'!G20</f>
        <v xml:space="preserve">The primary function is to facilitate the transfer of data between the BESS Controller, the TMS, the PCS, the BMS, and any other integrated systems or sensors (such as the Battery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v>
      </c>
      <c r="N21" s="240" t="s">
        <v>275</v>
      </c>
      <c r="O21" s="245" t="s">
        <v>278</v>
      </c>
      <c r="P21" s="108" t="str">
        <f>'Step 2 - Service Definition|2'!H20</f>
        <v xml:space="preserve">The primary function is to facilitate the transfer of data between the BESS Controller, the TMS, the PCS, the BMS, and any other integrated systems or sensors (such as the Battery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v>
      </c>
      <c r="Q21" s="240" t="s">
        <v>275</v>
      </c>
      <c r="R21" s="245" t="s">
        <v>278</v>
      </c>
      <c r="S21" s="108" t="str">
        <f>'Step 2 - Service Definition|2'!I20</f>
        <v xml:space="preserve">The primary function is to facilitate the transfer of data between the BESS Controller, the TMS, the PCS, the BMS, and any other integrated systems or sensors (such as the Battery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v>
      </c>
      <c r="T21" s="240" t="s">
        <v>275</v>
      </c>
      <c r="U21" s="245" t="s">
        <v>278</v>
      </c>
      <c r="V21" s="108" t="str">
        <f>'Step 2 - Service Definition|2'!J20</f>
        <v xml:space="preserve">The primary function is to facilitate the transfer of data between the BESS Controller, the TMS, the PCS, the BMS, and any other integrated systems or sensors (such as the Battery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v>
      </c>
      <c r="W21" s="240" t="s">
        <v>275</v>
      </c>
      <c r="X21" s="245" t="s">
        <v>278</v>
      </c>
      <c r="Y21" s="108" t="str">
        <f>'Step 2 - Service Definition|2'!K20</f>
        <v xml:space="preserve">The primary function is to facilitate the transfer of data between the BESS Controller, the TMS, the PCS, the BMS, and any other integrated systems or sensors (such as the Battery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v>
      </c>
      <c r="Z21" s="240" t="s">
        <v>275</v>
      </c>
      <c r="AA21" s="245" t="s">
        <v>278</v>
      </c>
      <c r="AB21" s="57"/>
    </row>
    <row r="22" spans="1:28" ht="360">
      <c r="A22" s="417"/>
      <c r="B22" s="400"/>
      <c r="C22" s="103" t="str">
        <f>'Step 1 - System Definition'!O20</f>
        <v>Site Network Switch(s)</v>
      </c>
      <c r="D22" s="109" t="str">
        <f>'Step 2 - Service Definition|2'!D21</f>
        <v>The primary function is to facilitate the transfer of data between the BESS Controller, the Site Controller, the Local HMI, Firewalls, Electrical Protection equipment, and any other integrated systems or sensors (such as the Site/Load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**Often only installed if the Security Firewall does not have enough port density**</v>
      </c>
      <c r="E22" s="242" t="s">
        <v>275</v>
      </c>
      <c r="F22" s="244" t="s">
        <v>278</v>
      </c>
      <c r="G22" s="250" t="str">
        <f>'Step 2 - Service Definition|2'!E21</f>
        <v>The primary function is to facilitate the transfer of data between the BESS Controller, the Site Controller, the Local HMI, Firewalls, Electrical Protection equipment, and any other integrated systems or sensors (such as the Site/Load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**Often only installed if the Security Firewall does not have enough port density**</v>
      </c>
      <c r="H22" s="242" t="s">
        <v>275</v>
      </c>
      <c r="I22" s="244" t="s">
        <v>278</v>
      </c>
      <c r="J22" s="109" t="str">
        <f>'Step 2 - Service Definition|2'!F21</f>
        <v>The primary function is to facilitate the transfer of data between the BESS Controller, the Site Controller, the Local HMI, Firewalls, Electrical Protection equipment, and any other integrated systems or sensors (such as the Site/Load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**Often only installed if the Security Firewall does not have enough port density**</v>
      </c>
      <c r="K22" s="242" t="s">
        <v>275</v>
      </c>
      <c r="L22" s="244" t="s">
        <v>278</v>
      </c>
      <c r="M22" s="109" t="str">
        <f>'Step 2 - Service Definition|2'!G21</f>
        <v>The primary function is to facilitate the transfer of data between the BESS Controller, the Site Controller, the Local HMI, Firewalls, Electrical Protection equipment, and any other integrated systems or sensors (such as the Site/Load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**Often only installed if the Security Firewall does not have enough port density**</v>
      </c>
      <c r="N22" s="242" t="s">
        <v>275</v>
      </c>
      <c r="O22" s="244" t="s">
        <v>278</v>
      </c>
      <c r="P22" s="109" t="str">
        <f>'Step 2 - Service Definition|2'!H21</f>
        <v>The primary function is to facilitate the transfer of data between the BESS Controller, the Site Controller, the Local HMI, Firewalls, Electrical Protection equipment, and any other integrated systems or sensors (such as the Site/Load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**Often only installed if the Security Firewall does not have enough port density**</v>
      </c>
      <c r="Q22" s="242" t="s">
        <v>275</v>
      </c>
      <c r="R22" s="244" t="s">
        <v>278</v>
      </c>
      <c r="S22" s="109" t="str">
        <f>'Step 2 - Service Definition|2'!I21</f>
        <v>The primary function is to facilitate the transfer of data between the BESS Controller, the Site Controller, the Local HMI, Firewalls, Electrical Protection equipment, and any other integrated systems or sensors (such as the Site/Load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**Often only installed if the Security Firewall does not have enough port density**</v>
      </c>
      <c r="T22" s="242" t="s">
        <v>275</v>
      </c>
      <c r="U22" s="244" t="s">
        <v>278</v>
      </c>
      <c r="V22" s="109" t="str">
        <f>'Step 2 - Service Definition|2'!J21</f>
        <v>The primary function is to facilitate the transfer of data between the BESS Controller, the Site Controller, the Local HMI, Firewalls, Electrical Protection equipment, and any other integrated systems or sensors (such as the Site/Load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**Often only installed if the Security Firewall does not have enough port density**</v>
      </c>
      <c r="W22" s="242" t="s">
        <v>275</v>
      </c>
      <c r="X22" s="244" t="s">
        <v>278</v>
      </c>
      <c r="Y22" s="109" t="str">
        <f>'Step 2 - Service Definition|2'!K21</f>
        <v>The primary function is to facilitate the transfer of data between the BESS Controller, the Site Controller, the Local HMI, Firewalls, Electrical Protection equipment, and any other integrated systems or sensors (such as the Site/Load Meter). The switch provides [Layer 2 switching|Layer 3 routing] communications. The switch [is|is not] managed. The switch [uses|does not use] network segmentation. The switch has [#] power supplies to maintain network availability in the case of hardware failure. The switch uses [fans|convection] for cooling. The switch [uses| does not use] power over ethernet for connections. The switch has [#] available ports after connecting in expected components. Multiple switches [exist|do not exist] for failover capabilities. **Often only installed if the Security Firewall does not have enough port density**</v>
      </c>
      <c r="Z22" s="242" t="s">
        <v>275</v>
      </c>
      <c r="AA22" s="244" t="s">
        <v>278</v>
      </c>
      <c r="AB22" s="57"/>
    </row>
    <row r="23" spans="1:28" ht="409.5">
      <c r="A23" s="417"/>
      <c r="B23" s="400"/>
      <c r="C23" s="103" t="str">
        <f>'Step 1 - System Definition'!O21</f>
        <v>Security Firewall(s)</v>
      </c>
      <c r="D23" s="109" t="str">
        <f>'Step 2 - Service Definition|2'!D22</f>
        <v>The primary function is to serve as the boundary between the site's internal network and the external network, which may be the public network (i.e., the internet) or a broader coporate network. The firewall provides the following security services: [List, for example, Stateful inspection, deep packet inspection, application awareness, etc.]. The firewall [does|does not] provide Virtual Private Network (VPN) functions. The firewall provides the following filter TCP/IP stack levels: [Layer 2, Layer 3, Layer 4, Layer 5]. The firewall [is|is not] managed by the organization that maintains the BESS installation. The firewall has [#] power supplies to maintain network availability in the case of hardware failure. The firewall uses [fans|convection] for cooling. The firewall [uses| does not use] power over ethernet for connections. The firewall has [#] available ports after connecting in expected components. Multiple firewalls [exist|do not exist] for failover capabilities.</v>
      </c>
      <c r="E23" s="242" t="s">
        <v>275</v>
      </c>
      <c r="F23" s="244" t="s">
        <v>278</v>
      </c>
      <c r="G23" s="250" t="str">
        <f>'Step 2 - Service Definition|2'!E22</f>
        <v>The primary function is to serve as the boundary between the site's internal network and the external network, which may be the public network (i.e., the internet) or a broader coporate network. The firewall provides the following security services: [List, for example, Stateful inspection, deep packet inspection, application awareness, etc.]. The firewall [does|does not] provide Virtual Private Network (VPN) functions. The firewall provides the following filter TCP/IP stack levels: [Layer 2, Layer 3, Layer 4, Layer 5]. The firewall [is|is not] managed by the organization that maintains the BESS installation. The firewall has [#] power supplies to maintain network availability in the case of hardware failure. The firewall uses [fans|convection] for cooling. The firewall [uses| does not use] power over ethernet for connections. The firewall has [#] available ports after connecting in expected components. Multiple firewalls [exist|do not exist] for failover capabilities.</v>
      </c>
      <c r="H23" s="242" t="s">
        <v>275</v>
      </c>
      <c r="I23" s="244" t="s">
        <v>278</v>
      </c>
      <c r="J23" s="109" t="str">
        <f>'Step 2 - Service Definition|2'!F22</f>
        <v>The primary function is to serve as the boundary between the site's internal network and the external network, which may be the public network (i.e., the internet) or a broader coporate network. The firewall provides the following security services: [List, for example, Stateful inspection, deep packet inspection, application awareness, etc.]. The firewall [does|does not] provide Virtual Private Network (VPN) functions. The firewall provides the following filter TCP/IP stack levels: [Layer 2, Layer 3, Layer 4, Layer 5]. The firewall [is|is not] managed by the organization that maintains the BESS installation. The firewall has [#] power supplies to maintain network availability in the case of hardware failure. The firewall uses [fans|convection] for cooling. The firewall [uses| does not use] power over ethernet for connections. The firewall has [#] available ports after connecting in expected components. Multiple firewalls [exist|do not exist] for failover capabilities.</v>
      </c>
      <c r="K23" s="242" t="s">
        <v>275</v>
      </c>
      <c r="L23" s="244" t="s">
        <v>278</v>
      </c>
      <c r="M23" s="109" t="str">
        <f>'Step 2 - Service Definition|2'!G22</f>
        <v>The primary function is to serve as the boundary between the site's internal network and the external network, which may be the public network (i.e., the internet) or a broader coporate network. The firewall provides the following security services: [List, for example, Stateful inspection, deep packet inspection, application awareness, etc.]. The firewall [does|does not] provide Virtual Private Network (VPN) functions. The firewall provides the following filter TCP/IP stack levels: [Layer 2, Layer 3, Layer 4, Layer 5]. The firewall [is|is not] managed by the organization that maintains the BESS installation. The firewall has [#] power supplies to maintain network availability in the case of hardware failure. The firewall uses [fans|convection] for cooling. The firewall [uses| does not use] power over ethernet for connections. The firewall has [#] available ports after connecting in expected components. Multiple firewalls [exist|do not exist] for failover capabilities.</v>
      </c>
      <c r="N23" s="242" t="s">
        <v>275</v>
      </c>
      <c r="O23" s="244" t="s">
        <v>278</v>
      </c>
      <c r="P23" s="109" t="str">
        <f>'Step 2 - Service Definition|2'!H22</f>
        <v>The primary function is to serve as the boundary between the site's internal network and the external network, which may be the public network (i.e., the internet) or a broader coporate network. The firewall provides the following security services: [List, for example, Stateful inspection, deep packet inspection, application awareness, etc.]. The firewall [does|does not] provide Virtual Private Network (VPN) functions. The firewall provides the following filter TCP/IP stack levels: [Layer 2, Layer 3, Layer 4, Layer 5]. The firewall [is|is not] managed by the organization that maintains the BESS installation. The firewall has [#] power supplies to maintain network availability in the case of hardware failure. The firewall uses [fans|convection] for cooling. The firewall [uses| does not use] power over ethernet for connections. The firewall has [#] available ports after connecting in expected components. Multiple firewalls [exist|do not exist] for failover capabilities.</v>
      </c>
      <c r="Q23" s="242" t="s">
        <v>275</v>
      </c>
      <c r="R23" s="244" t="s">
        <v>278</v>
      </c>
      <c r="S23" s="109" t="str">
        <f>'Step 2 - Service Definition|2'!I22</f>
        <v>The primary function is to serve as the boundary between the site's internal network and the external network, which may be the public network (i.e., the internet) or a broader coporate network. The firewall provides the following security services: [List, for example, Stateful inspection, deep packet inspection, application awareness, etc.]. The firewall [does|does not] provide Virtual Private Network (VPN) functions. The firewall provides the following filter TCP/IP stack levels: [Layer 2, Layer 3, Layer 4, Layer 5]. The firewall [is|is not] managed by the organization that maintains the BESS installation. The firewall has [#] power supplies to maintain network availability in the case of hardware failure. The firewall uses [fans|convection] for cooling. The firewall [uses| does not use] power over ethernet for connections. The firewall has [#] available ports after connecting in expected components. Multiple firewalls [exist|do not exist] for failover capabilities.</v>
      </c>
      <c r="T23" s="242" t="s">
        <v>275</v>
      </c>
      <c r="U23" s="244" t="s">
        <v>278</v>
      </c>
      <c r="V23" s="109" t="str">
        <f>'Step 2 - Service Definition|2'!J22</f>
        <v>The primary function is to serve as the boundary between the site's internal network and the external network, which may be the public network (i.e., the internet) or a broader coporate network. The firewall provides the following security services: [List, for example, Stateful inspection, deep packet inspection, application awareness, etc.]. The firewall [does|does not] provide Virtual Private Network (VPN) functions. The firewall provides the following filter TCP/IP stack levels: [Layer 2, Layer 3, Layer 4, Layer 5]. The firewall [is|is not] managed by the organization that maintains the BESS installation. The firewall has [#] power supplies to maintain network availability in the case of hardware failure. The firewall uses [fans|convection] for cooling. The firewall [uses| does not use] power over ethernet for connections. The firewall has [#] available ports after connecting in expected components. Multiple firewalls [exist|do not exist] for failover capabilities.</v>
      </c>
      <c r="W23" s="242" t="s">
        <v>275</v>
      </c>
      <c r="X23" s="244" t="s">
        <v>278</v>
      </c>
      <c r="Y23" s="109" t="str">
        <f>'Step 2 - Service Definition|2'!K22</f>
        <v>The primary function is to serve as the boundary between the site's internal network and the external network, which may be the public network (i.e., the internet) or a broader coporate network. The firewall provides the following security services: [List, for example, Stateful inspection, deep packet inspection, application awareness, etc.]. The firewall [does|does not] provide Virtual Private Network (VPN) functions. The firewall provides the following filter TCP/IP stack levels: [Layer 2, Layer 3, Layer 4, Layer 5]. The firewall [is|is not] managed by the organization that maintains the BESS installation. The firewall has [#] power supplies to maintain network availability in the case of hardware failure. The firewall uses [fans|convection] for cooling. The firewall [uses| does not use] power over ethernet for connections. The firewall has [#] available ports after connecting in expected components. Multiple firewalls [exist|do not exist] for failover capabilities.</v>
      </c>
      <c r="Z23" s="242" t="s">
        <v>275</v>
      </c>
      <c r="AA23" s="244" t="s">
        <v>278</v>
      </c>
      <c r="AB23" s="57"/>
    </row>
    <row r="24" spans="1:28" ht="375">
      <c r="A24" s="417"/>
      <c r="B24" s="400"/>
      <c r="C24" s="103" t="str">
        <f>'Step 1 - System Definition'!O22</f>
        <v>Site Router(s)</v>
      </c>
      <c r="D24" s="109" t="str">
        <f>'Step 2 - Service Definition|2'!D23</f>
        <v>The primary function is to serve as the gateway between the site's internal network and the external network, which may be the public network (i.e., the internet) or a broader coporate network. The router [uses|does not use] Network Address Technology (NAT). The router [uses|does not use] traffic management features (i.e. class policy, QoS policy). The router uses the following routing protocols: [RIPv3, EIGRP, BGP, Static, OSPF]. The router [is|is not] managed by the organization that maintains the BESS installation. The router has [#] power supplies to maintain network availability in the case of hardware failure. The router uses [fans|convection] for cooling. The router [uses| does not use] power over ethernet for connections. The router has [#] available ports after connecting in expected components. Multiple router [exist|do not exist] for failover capabilities.</v>
      </c>
      <c r="E24" s="242" t="s">
        <v>275</v>
      </c>
      <c r="F24" s="244" t="s">
        <v>278</v>
      </c>
      <c r="G24" s="250" t="str">
        <f>'Step 2 - Service Definition|2'!E23</f>
        <v>The primary function is to serve as the gateway between the site's internal network and the external network, which may be the public network (i.e., the internet) or a broader coporate network. The router [uses|does not use] Network Address Technology (NAT). The router [uses|does not use] traffic management features (i.e. class policy, QoS policy). The router uses the following routing protocols: [RIPv3, EIGRP, BGP, Static, OSPF]. The router [is|is not] managed by the organization that maintains the BESS installation. The router has [#] power supplies to maintain network availability in the case of hardware failure. The router uses [fans|convection] for cooling. The router [uses| does not use] power over ethernet for connections. The router has [#] available ports after connecting in expected components. Multiple router [exist|do not exist] for failover capabilities.</v>
      </c>
      <c r="H24" s="242" t="s">
        <v>275</v>
      </c>
      <c r="I24" s="244" t="s">
        <v>278</v>
      </c>
      <c r="J24" s="109" t="str">
        <f>'Step 2 - Service Definition|2'!F23</f>
        <v>The primary function is to serve as the gateway between the site's internal network and the external network, which may be the public network (i.e., the internet) or a broader coporate network. The router [uses|does not use] Network Address Technology (NAT). The router [uses|does not use] traffic management features (i.e. class policy, QoS policy). The router uses the following routing protocols: [RIPv3, EIGRP, BGP, Static, OSPF]. The router [is|is not] managed by the organization that maintains the BESS installation. The router has [#] power supplies to maintain network availability in the case of hardware failure. The router uses [fans|convection] for cooling. The router [uses| does not use] power over ethernet for connections. The router has [#] available ports after connecting in expected components. Multiple router [exist|do not exist] for failover capabilities.</v>
      </c>
      <c r="K24" s="242" t="s">
        <v>275</v>
      </c>
      <c r="L24" s="244" t="s">
        <v>278</v>
      </c>
      <c r="M24" s="109" t="str">
        <f>'Step 2 - Service Definition|2'!G23</f>
        <v>The primary function is to serve as the gateway between the site's internal network and the external network, which may be the public network (i.e., the internet) or a broader coporate network. The router [uses|does not use] Network Address Technology (NAT). The router [uses|does not use] traffic management features (i.e. class policy, QoS policy). The router uses the following routing protocols: [RIPv3, EIGRP, BGP, Static, OSPF]. The router [is|is not] managed by the organization that maintains the BESS installation. The router has [#] power supplies to maintain network availability in the case of hardware failure. The router uses [fans|convection] for cooling. The router [uses| does not use] power over ethernet for connections. The router has [#] available ports after connecting in expected components. Multiple router [exist|do not exist] for failover capabilities.</v>
      </c>
      <c r="N24" s="242" t="s">
        <v>275</v>
      </c>
      <c r="O24" s="244" t="s">
        <v>278</v>
      </c>
      <c r="P24" s="109" t="str">
        <f>'Step 2 - Service Definition|2'!H23</f>
        <v>The primary function is to serve as the gateway between the site's internal network and the external network, which may be the public network (i.e., the internet) or a broader coporate network. The router [uses|does not use] Network Address Technology (NAT). The router [uses|does not use] traffic management features (i.e. class policy, QoS policy). The router uses the following routing protocols: [RIPv3, EIGRP, BGP, Static, OSPF]. The router [is|is not] managed by the organization that maintains the BESS installation. The router has [#] power supplies to maintain network availability in the case of hardware failure. The router uses [fans|convection] for cooling. The router [uses| does not use] power over ethernet for connections. The router has [#] available ports after connecting in expected components. Multiple router [exist|do not exist] for failover capabilities.</v>
      </c>
      <c r="Q24" s="242" t="s">
        <v>275</v>
      </c>
      <c r="R24" s="244" t="s">
        <v>278</v>
      </c>
      <c r="S24" s="109" t="str">
        <f>'Step 2 - Service Definition|2'!I23</f>
        <v>The primary function is to serve as the gateway between the site's internal network and the external network, which may be the public network (i.e., the internet) or a broader coporate network. The router [uses|does not use] Network Address Technology (NAT). The router [uses|does not use] traffic management features (i.e. class policy, QoS policy). The router uses the following routing protocols: [RIPv3, EIGRP, BGP, Static, OSPF]. The router [is|is not] managed by the organization that maintains the BESS installation. The router has [#] power supplies to maintain network availability in the case of hardware failure. The router uses [fans|convection] for cooling. The router [uses| does not use] power over ethernet for connections. The router has [#] available ports after connecting in expected components. Multiple router [exist|do not exist] for failover capabilities.</v>
      </c>
      <c r="T24" s="242" t="s">
        <v>275</v>
      </c>
      <c r="U24" s="244" t="s">
        <v>278</v>
      </c>
      <c r="V24" s="109" t="str">
        <f>'Step 2 - Service Definition|2'!J23</f>
        <v>The primary function is to serve as the gateway between the site's internal network and the external network, which may be the public network (i.e., the internet) or a broader coporate network. The router [uses|does not use] Network Address Technology (NAT). The router [uses|does not use] traffic management features (i.e. class policy, QoS policy). The router uses the following routing protocols: [RIPv3, EIGRP, BGP, Static, OSPF]. The router [is|is not] managed by the organization that maintains the BESS installation. The router has [#] power supplies to maintain network availability in the case of hardware failure. The router uses [fans|convection] for cooling. The router [uses| does not use] power over ethernet for connections. The router has [#] available ports after connecting in expected components. Multiple router [exist|do not exist] for failover capabilities.</v>
      </c>
      <c r="W24" s="242" t="s">
        <v>275</v>
      </c>
      <c r="X24" s="244" t="s">
        <v>278</v>
      </c>
      <c r="Y24" s="109" t="str">
        <f>'Step 2 - Service Definition|2'!K23</f>
        <v>The primary function is to serve as the gateway between the site's internal network and the external network, which may be the public network (i.e., the internet) or a broader coporate network. The router [uses|does not use] Network Address Technology (NAT). The router [uses|does not use] traffic management features (i.e. class policy, QoS policy). The router uses the following routing protocols: [RIPv3, EIGRP, BGP, Static, OSPF]. The router [is|is not] managed by the organization that maintains the BESS installation. The router has [#] power supplies to maintain network availability in the case of hardware failure. The router uses [fans|convection] for cooling. The router [uses| does not use] power over ethernet for connections. The router has [#] available ports after connecting in expected components. Multiple router [exist|do not exist] for failover capabilities.</v>
      </c>
      <c r="Z24" s="242" t="s">
        <v>275</v>
      </c>
      <c r="AA24" s="244" t="s">
        <v>278</v>
      </c>
      <c r="AB24" s="57"/>
    </row>
    <row r="25" spans="1:28" ht="409.6" thickBot="1">
      <c r="A25" s="417"/>
      <c r="B25" s="399"/>
      <c r="C25" s="104" t="str">
        <f>'Step 1 - System Definition'!O23</f>
        <v>Cell Modem</v>
      </c>
      <c r="D25" s="110" t="str">
        <f>'Step 2 - Service Definition|2'!D24</f>
        <v>The primary function is to provide an alternative communication path with wireless links often between the component and the public network so that the authorized vendor can access the components in question. This allows vendors, operators, or maintenance personnel to remotely access the system for monitoring, management, and troubleshooting purposes. The following components use a cellular model to communicate to their vendor as follows: [List (component - vendor - network {BESS|Site|Component-Only}), ...]. The Cellular Modem uses [4G LTE|5G|3G] and [requires|does not require] the use of SIM card to connect to the cellular network. The antenna is [directional|omni-directional]. The cellular modem uses the following security features: [List - for example, VPN, encryption, secure boot, etc.]. The modem [is|is not] managed by the organization that maintains the BESS installation. The modem has [#] power supplies to maintain network availability in the case of hardware failure. The modem uses [fans|convection] for cooling. The modem [uses| does not use] power over ethernet for connections. The modem has [#] available ports after connecting in expected components.</v>
      </c>
      <c r="E25" s="246" t="s">
        <v>275</v>
      </c>
      <c r="F25" s="247" t="s">
        <v>278</v>
      </c>
      <c r="G25" s="251" t="str">
        <f>'Step 2 - Service Definition|2'!E24</f>
        <v>The primary function is to provide an alternative communication path with wireless links often between the component and the public network so that the authorized vendor can access the components in question. This allows vendors, operators, or maintenance personnel to remotely access the system for monitoring, management, and troubleshooting purposes. The following components use a cellular model to communicate to their vendor as follows: [List (component - vendor - network {BESS|Site|Component-Only}), ...]. The Cellular Modem uses [4G LTE|5G|3G] and [requires|does not require] the use of SIM card to connect to the cellular network. The antenna is [directional|omni-directional]. The cellular modem uses the following security features: [List - for example, VPN, encryption, secure boot, etc.]. The modem [is|is not] managed by the organization that maintains the BESS installation. The modem has [#] power supplies to maintain network availability in the case of hardware failure. The modem uses [fans|convection] for cooling. The modem [uses| does not use] power over ethernet for connections. The modem has [#] available ports after connecting in expected components.</v>
      </c>
      <c r="H25" s="246" t="s">
        <v>275</v>
      </c>
      <c r="I25" s="247" t="s">
        <v>278</v>
      </c>
      <c r="J25" s="110" t="str">
        <f>'Step 2 - Service Definition|2'!F24</f>
        <v>The primary function is to provide an alternative communication path with wireless links often between the component and the public network so that the authorized vendor can access the components in question. This allows vendors, operators, or maintenance personnel to remotely access the system for monitoring, management, and troubleshooting purposes. The following components use a cellular model to communicate to their vendor as follows: [List (component - vendor - network {BESS|Site|Component-Only}), ...]. The Cellular Modem uses [4G LTE|5G|3G] and [requires|does not require] the use of SIM card to connect to the cellular network. The antenna is [directional|omni-directional]. The cellular modem uses the following security features: [List - for example, VPN, encryption, secure boot, etc.]. The modem [is|is not] managed by the organization that maintains the BESS installation. The modem has [#] power supplies to maintain network availability in the case of hardware failure. The modem uses [fans|convection] for cooling. The modem [uses| does not use] power over ethernet for connections. The modem has [#] available ports after connecting in expected components.</v>
      </c>
      <c r="K25" s="246" t="s">
        <v>275</v>
      </c>
      <c r="L25" s="247" t="s">
        <v>278</v>
      </c>
      <c r="M25" s="110" t="str">
        <f>'Step 2 - Service Definition|2'!G24</f>
        <v>The primary function is to provide an alternative communication path with wireless links often between the component and the public network so that the authorized vendor can access the components in question. This allows vendors, operators, or maintenance personnel to remotely access the system for monitoring, management, and troubleshooting purposes. The following components use a cellular model to communicate to their vendor as follows: [List (component - vendor - network {BESS|Site|Component-Only}), ...]. The Cellular Modem uses [4G LTE|5G|3G] and [requires|does not require] the use of SIM card to connect to the cellular network. The antenna is [directional|omni-directional]. The cellular modem uses the following security features: [List - for example, VPN, encryption, secure boot, etc.]. The modem [is|is not] managed by the organization that maintains the BESS installation. The modem has [#] power supplies to maintain network availability in the case of hardware failure. The modem uses [fans|convection] for cooling. The modem [uses| does not use] power over ethernet for connections. The modem has [#] available ports after connecting in expected components.</v>
      </c>
      <c r="N25" s="246" t="s">
        <v>275</v>
      </c>
      <c r="O25" s="247" t="s">
        <v>278</v>
      </c>
      <c r="P25" s="110" t="str">
        <f>'Step 2 - Service Definition|2'!H24</f>
        <v>The primary function is to provide an alternative communication path with wireless links often between the component and the public network so that the authorized vendor can access the components in question. This allows vendors, operators, or maintenance personnel to remotely access the system for monitoring, management, and troubleshooting purposes. The following components use a cellular model to communicate to their vendor as follows: [List (component - vendor - network {BESS|Site|Component-Only}), ...]. The Cellular Modem uses [4G LTE|5G|3G] and [requires|does not require] the use of SIM card to connect to the cellular network. The antenna is [directional|omni-directional]. The cellular modem uses the following security features: [List - for example, VPN, encryption, secure boot, etc.]. The modem [is|is not] managed by the organization that maintains the BESS installation. The modem has [#] power supplies to maintain network availability in the case of hardware failure. The modem uses [fans|convection] for cooling. The modem [uses| does not use] power over ethernet for connections. The modem has [#] available ports after connecting in expected components.</v>
      </c>
      <c r="Q25" s="246" t="s">
        <v>275</v>
      </c>
      <c r="R25" s="247" t="s">
        <v>278</v>
      </c>
      <c r="S25" s="110" t="str">
        <f>'Step 2 - Service Definition|2'!I24</f>
        <v>The primary function is to provide an alternative communication path with wireless links often between the component and the public network so that the authorized vendor can access the components in question. This allows vendors, operators, or maintenance personnel to remotely access the system for monitoring, management, and troubleshooting purposes. The following components use a cellular model to communicate to their vendor as follows: [List (component - vendor - network {BESS|Site|Component-Only}), ...]. The Cellular Modem uses [4G LTE|5G|3G] and [requires|does not require] the use of SIM card to connect to the cellular network. The antenna is [directional|omni-directional]. The cellular modem uses the following security features: [List - for example, VPN, encryption, secure boot, etc.]. The modem [is|is not] managed by the organization that maintains the BESS installation. The modem has [#] power supplies to maintain network availability in the case of hardware failure. The modem uses [fans|convection] for cooling. The modem [uses| does not use] power over ethernet for connections. The modem has [#] available ports after connecting in expected components.</v>
      </c>
      <c r="T25" s="246" t="s">
        <v>275</v>
      </c>
      <c r="U25" s="247" t="s">
        <v>278</v>
      </c>
      <c r="V25" s="110" t="str">
        <f>'Step 2 - Service Definition|2'!J24</f>
        <v>The primary function is to provide an alternative communication path with wireless links often between the component and the public network so that the authorized vendor can access the components in question. This allows vendors, operators, or maintenance personnel to remotely access the system for monitoring, management, and troubleshooting purposes. The following components use a cellular model to communicate to their vendor as follows: [List (component - vendor - network {BESS|Site|Component-Only}), ...]. The Cellular Modem uses [4G LTE|5G|3G] and [requires|does not require] the use of SIM card to connect to the cellular network. The antenna is [directional|omni-directional]. The cellular modem uses the following security features: [List - for example, VPN, encryption, secure boot, etc.]. The modem [is|is not] managed by the organization that maintains the BESS installation. The modem has [#] power supplies to maintain network availability in the case of hardware failure. The modem uses [fans|convection] for cooling. The modem [uses| does not use] power over ethernet for connections. The modem has [#] available ports after connecting in expected components.</v>
      </c>
      <c r="W25" s="246" t="s">
        <v>275</v>
      </c>
      <c r="X25" s="247" t="s">
        <v>278</v>
      </c>
      <c r="Y25" s="110" t="str">
        <f>'Step 2 - Service Definition|2'!K24</f>
        <v>The primary function is to provide an alternative communication path with wireless links often between the component and the public network so that the authorized vendor can access the components in question. This allows vendors, operators, or maintenance personnel to remotely access the system for monitoring, management, and troubleshooting purposes. The following components use a cellular model to communicate to their vendor as follows: [List (component - vendor - network {BESS|Site|Component-Only}), ...]. The Cellular Modem uses [4G LTE|5G|3G] and [requires|does not require] the use of SIM card to connect to the cellular network. The antenna is [directional|omni-directional]. The cellular modem uses the following security features: [List - for example, VPN, encryption, secure boot, etc.]. The modem [is|is not] managed by the organization that maintains the BESS installation. The modem has [#] power supplies to maintain network availability in the case of hardware failure. The modem uses [fans|convection] for cooling. The modem [uses| does not use] power over ethernet for connections. The modem has [#] available ports after connecting in expected components.</v>
      </c>
      <c r="Z25" s="246" t="s">
        <v>275</v>
      </c>
      <c r="AA25" s="247" t="s">
        <v>278</v>
      </c>
      <c r="AB25" s="57"/>
    </row>
    <row r="26" spans="1:28" ht="360">
      <c r="A26" s="417"/>
      <c r="B26" s="398" t="s">
        <v>22</v>
      </c>
      <c r="C26" s="102" t="str">
        <f>'Step 1 - System Definition'!O24</f>
        <v>Fuses(s)</v>
      </c>
      <c r="D26" s="108" t="str">
        <f>'Step 2 - Service Definition|2'!D25</f>
        <v xml:space="preserve">The primary function is safeguard electrical components from overcurrent conditions which can occur due to short circuits, overloads, or equipment failures. List the purpose, location, and ratings that fuses are installed in the BESS system: [List (purpose{overcurrent protection|circuit isolation} - {in conjunction with the battery modules or cells to protect against cell-level overcurrent|at the inputs/outputs of the PCS to protect power electronics form surges|along the DC bus that connects the battery packs to the PCS|Within the distribution panels that feed power to auxiliary systems like the TMS or Controllers|At the PCC to protect the interface between the BESS and the grid or other electrical systems} - #A max current rating, #V max voltage rating, #A interrupting fault current rating, {fast-acting|slow-blow})]. </v>
      </c>
      <c r="E26" s="240" t="s">
        <v>275</v>
      </c>
      <c r="F26" s="245" t="s">
        <v>193</v>
      </c>
      <c r="G26" s="249" t="str">
        <f>'Step 2 - Service Definition|2'!E25</f>
        <v xml:space="preserve">The primary function is safeguard electrical components from overcurrent conditions which can occur due to short circuits, overloads, or equipment failures. List the purpose, location, and ratings that fuses are installed in the BESS system: [List (purpose{overcurrent protection|circuit isolation} - {in conjunction with the battery modules or cells to protect against cell-level overcurrent|at the inputs/outputs of the PCS to protect power electronics form surges|along the DC bus that connects the battery packs to the PCS|Within the distribution panels that feed power to auxiliary systems like the TMS or Controllers|At the PCC to protect the interface between the BESS and the grid or other electrical systems} - #A max current rating, #V max voltage rating, #A interrupting fault current rating, {fast-acting|slow-blow})]. </v>
      </c>
      <c r="H26" s="240" t="s">
        <v>275</v>
      </c>
      <c r="I26" s="245" t="s">
        <v>193</v>
      </c>
      <c r="J26" s="108" t="str">
        <f>'Step 2 - Service Definition|2'!F25</f>
        <v xml:space="preserve">The primary function is safeguard electrical components from overcurrent conditions which can occur due to short circuits, overloads, or equipment failures. List the purpose, location, and ratings that fuses are installed in the BESS system: [List (purpose{overcurrent protection|circuit isolation} - {in conjunction with the battery modules or cells to protect against cell-level overcurrent|at the inputs/outputs of the PCS to protect power electronics form surges|along the DC bus that connects the battery packs to the PCS|Within the distribution panels that feed power to auxiliary systems like the TMS or Controllers|At the PCC to protect the interface between the BESS and the grid or other electrical systems} - #A max current rating, #V max voltage rating, #A interrupting fault current rating, {fast-acting|slow-blow})]. </v>
      </c>
      <c r="K26" s="240" t="s">
        <v>275</v>
      </c>
      <c r="L26" s="245" t="s">
        <v>193</v>
      </c>
      <c r="M26" s="108" t="str">
        <f>'Step 2 - Service Definition|2'!G25</f>
        <v xml:space="preserve">The primary function is safeguard electrical components from overcurrent conditions which can occur due to short circuits, overloads, or equipment failures. List the purpose, location, and ratings that fuses are installed in the BESS system: [List (purpose{overcurrent protection|circuit isolation} - {in conjunction with the battery modules or cells to protect against cell-level overcurrent|at the inputs/outputs of the PCS to protect power electronics form surges|along the DC bus that connects the battery packs to the PCS|Within the distribution panels that feed power to auxiliary systems like the TMS or Controllers|At the PCC to protect the interface between the BESS and the grid or other electrical systems} - #A max current rating, #V max voltage rating, #A interrupting fault current rating, {fast-acting|slow-blow})]. </v>
      </c>
      <c r="N26" s="240" t="s">
        <v>275</v>
      </c>
      <c r="O26" s="245" t="s">
        <v>193</v>
      </c>
      <c r="P26" s="108" t="str">
        <f>'Step 2 - Service Definition|2'!H25</f>
        <v xml:space="preserve">The primary function is safeguard electrical components from overcurrent conditions which can occur due to short circuits, overloads, or equipment failures. List the purpose, location, and ratings that fuses are installed in the BESS system: [List (purpose{overcurrent protection|circuit isolation} - {in conjunction with the battery modules or cells to protect against cell-level overcurrent|at the inputs/outputs of the PCS to protect power electronics form surges|along the DC bus that connects the battery packs to the PCS|Within the distribution panels that feed power to auxiliary systems like the TMS or Controllers|At the PCC to protect the interface between the BESS and the grid or other electrical systems} - #A max current rating, #V max voltage rating, #A interrupting fault current rating, {fast-acting|slow-blow})]. </v>
      </c>
      <c r="Q26" s="240" t="s">
        <v>275</v>
      </c>
      <c r="R26" s="245" t="s">
        <v>193</v>
      </c>
      <c r="S26" s="108" t="str">
        <f>'Step 2 - Service Definition|2'!I25</f>
        <v xml:space="preserve">The primary function is safeguard electrical components from overcurrent conditions which can occur due to short circuits, overloads, or equipment failures. List the purpose, location, and ratings that fuses are installed in the BESS system: [List (purpose{overcurrent protection|circuit isolation} - {in conjunction with the battery modules or cells to protect against cell-level overcurrent|at the inputs/outputs of the PCS to protect power electronics form surges|along the DC bus that connects the battery packs to the PCS|Within the distribution panels that feed power to auxiliary systems like the TMS or Controllers|At the PCC to protect the interface between the BESS and the grid or other electrical systems} - #A max current rating, #V max voltage rating, #A interrupting fault current rating, {fast-acting|slow-blow})]. </v>
      </c>
      <c r="T26" s="240" t="s">
        <v>275</v>
      </c>
      <c r="U26" s="245" t="s">
        <v>193</v>
      </c>
      <c r="V26" s="108" t="str">
        <f>'Step 2 - Service Definition|2'!J25</f>
        <v xml:space="preserve">The primary function is safeguard electrical components from overcurrent conditions which can occur due to short circuits, overloads, or equipment failures. List the purpose, location, and ratings that fuses are installed in the BESS system: [List (purpose{overcurrent protection|circuit isolation} - {in conjunction with the battery modules or cells to protect against cell-level overcurrent|at the inputs/outputs of the PCS to protect power electronics form surges|along the DC bus that connects the battery packs to the PCS|Within the distribution panels that feed power to auxiliary systems like the TMS or Controllers|At the PCC to protect the interface between the BESS and the grid or other electrical systems} - #A max current rating, #V max voltage rating, #A interrupting fault current rating, {fast-acting|slow-blow})]. </v>
      </c>
      <c r="W26" s="240" t="s">
        <v>275</v>
      </c>
      <c r="X26" s="245" t="s">
        <v>193</v>
      </c>
      <c r="Y26" s="108" t="str">
        <f>'Step 2 - Service Definition|2'!K25</f>
        <v xml:space="preserve">The primary function is safeguard electrical components from overcurrent conditions which can occur due to short circuits, overloads, or equipment failures. List the purpose, location, and ratings that fuses are installed in the BESS system: [List (purpose{overcurrent protection|circuit isolation} - {in conjunction with the battery modules or cells to protect against cell-level overcurrent|at the inputs/outputs of the PCS to protect power electronics form surges|along the DC bus that connects the battery packs to the PCS|Within the distribution panels that feed power to auxiliary systems like the TMS or Controllers|At the PCC to protect the interface between the BESS and the grid or other electrical systems} - #A max current rating, #V max voltage rating, #A interrupting fault current rating, {fast-acting|slow-blow})]. </v>
      </c>
      <c r="Z26" s="240" t="s">
        <v>275</v>
      </c>
      <c r="AA26" s="245" t="s">
        <v>193</v>
      </c>
      <c r="AB26" s="57"/>
    </row>
    <row r="27" spans="1:28" ht="405">
      <c r="A27" s="417"/>
      <c r="B27" s="400"/>
      <c r="C27" s="103" t="str">
        <f>'Step 1 - System Definition'!O25</f>
        <v>AC Circuit Breaker(s)</v>
      </c>
      <c r="D27" s="109" t="str">
        <f>'Step 2 - Service Definition|2'!D26</f>
        <v>The primary function is provide overcurrent and  short-circuit protection, circuit isolation, and fault clearing. List the purpose, location, and ratings that circuit breakers are installed in the BESS system: [List (purpose{overcurrent|short-circuit|circuit isolation|fault-clearing} - {output of the PCS to protect the inverter and other power electronics|on the service entrance to provide main protection for the entire BESS from the AC grid|within the AC distribution panel that distribute power to various BESS subsystems such as TMS, Controller, and auxillary services|near critical loads points that require individual protection within the BESS system} - #A max continuous current rating, #V max voltage, #A max fault current, {instantaneous|short-time delay|long-time delay|combination}, auxiliary features {shut-trips, under-voltage releases, auxilary contacts for signaling and control purposes}, # of poles)].</v>
      </c>
      <c r="E27" s="242" t="s">
        <v>275</v>
      </c>
      <c r="F27" s="244" t="s">
        <v>193</v>
      </c>
      <c r="G27" s="250" t="str">
        <f>'Step 2 - Service Definition|2'!E26</f>
        <v>The primary function is provide overcurrent and  short-circuit protection, circuit isolation, and fault clearing. List the purpose, location, and ratings that circuit breakers are installed in the BESS system: [List (purpose{overcurrent|short-circuit|circuit isolation|fault-clearing} - {output of the PCS to protect the inverter and other power electronics|on the service entrance to provide main protection for the entire BESS from the AC grid|within the AC distribution panel that distribute power to various BESS subsystems such as TMS, Controller, and auxillary services|near critical loads points that require individual protection within the BESS system} - #A max continuous current rating, #V max voltage, #A max fault current, {instantaneous|short-time delay|long-time delay|combination}, auxiliary features {shut-trips, under-voltage releases, auxilary contacts for signaling and control purposes}, # of poles)].</v>
      </c>
      <c r="H27" s="242" t="s">
        <v>275</v>
      </c>
      <c r="I27" s="244" t="s">
        <v>193</v>
      </c>
      <c r="J27" s="109" t="str">
        <f>'Step 2 - Service Definition|2'!F26</f>
        <v>The primary function is provide overcurrent and  short-circuit protection, circuit isolation, and fault clearing. List the purpose, location, and ratings that circuit breakers are installed in the BESS system: [List (purpose{overcurrent|short-circuit|circuit isolation|fault-clearing} - {output of the PCS to protect the inverter and other power electronics|on the service entrance to provide main protection for the entire BESS from the AC grid|within the AC distribution panel that distribute power to various BESS subsystems such as TMS, Controller, and auxillary services|near critical loads points that require individual protection within the BESS system} - #A max continuous current rating, #V max voltage, #A max fault current, {instantaneous|short-time delay|long-time delay|combination}, auxiliary features {shut-trips, under-voltage releases, auxilary contacts for signaling and control purposes}, # of poles)].</v>
      </c>
      <c r="K27" s="242" t="s">
        <v>275</v>
      </c>
      <c r="L27" s="244" t="s">
        <v>193</v>
      </c>
      <c r="M27" s="109" t="str">
        <f>'Step 2 - Service Definition|2'!G26</f>
        <v>The primary function is provide overcurrent and  short-circuit protection, circuit isolation, and fault clearing. List the purpose, location, and ratings that circuit breakers are installed in the BESS system: [List (purpose{overcurrent|short-circuit|circuit isolation|fault-clearing} - {output of the PCS to protect the inverter and other power electronics|on the service entrance to provide main protection for the entire BESS from the AC grid|within the AC distribution panel that distribute power to various BESS subsystems such as TMS, Controller, and auxillary services|near critical loads points that require individual protection within the BESS system} - #A max continuous current rating, #V max voltage, #A max fault current, {instantaneous|short-time delay|long-time delay|combination}, auxiliary features {shut-trips, under-voltage releases, auxilary contacts for signaling and control purposes}, # of poles)].</v>
      </c>
      <c r="N27" s="242" t="s">
        <v>275</v>
      </c>
      <c r="O27" s="244" t="s">
        <v>193</v>
      </c>
      <c r="P27" s="109" t="str">
        <f>'Step 2 - Service Definition|2'!H26</f>
        <v>The primary function is provide overcurrent and  short-circuit protection, circuit isolation, and fault clearing. List the purpose, location, and ratings that circuit breakers are installed in the BESS system: [List (purpose{overcurrent|short-circuit|circuit isolation|fault-clearing} - {output of the PCS to protect the inverter and other power electronics|on the service entrance to provide main protection for the entire BESS from the AC grid|within the AC distribution panel that distribute power to various BESS subsystems such as TMS, Controller, and auxillary services|near critical loads points that require individual protection within the BESS system} - #A max continuous current rating, #V max voltage, #A max fault current, {instantaneous|short-time delay|long-time delay|combination}, auxiliary features {shut-trips, under-voltage releases, auxilary contacts for signaling and control purposes}, # of poles)].</v>
      </c>
      <c r="Q27" s="242" t="s">
        <v>275</v>
      </c>
      <c r="R27" s="244" t="s">
        <v>193</v>
      </c>
      <c r="S27" s="109" t="str">
        <f>'Step 2 - Service Definition|2'!I26</f>
        <v>The primary function is provide overcurrent and  short-circuit protection, circuit isolation, and fault clearing. List the purpose, location, and ratings that circuit breakers are installed in the BESS system: [List (purpose{overcurrent|short-circuit|circuit isolation|fault-clearing} - {output of the PCS to protect the inverter and other power electronics|on the service entrance to provide main protection for the entire BESS from the AC grid|within the AC distribution panel that distribute power to various BESS subsystems such as TMS, Controller, and auxillary services|near critical loads points that require individual protection within the BESS system} - #A max continuous current rating, #V max voltage, #A max fault current, {instantaneous|short-time delay|long-time delay|combination}, auxiliary features {shut-trips, under-voltage releases, auxilary contacts for signaling and control purposes}, # of poles)].</v>
      </c>
      <c r="T27" s="242" t="s">
        <v>275</v>
      </c>
      <c r="U27" s="244" t="s">
        <v>193</v>
      </c>
      <c r="V27" s="109" t="str">
        <f>'Step 2 - Service Definition|2'!J26</f>
        <v>The primary function is provide overcurrent and  short-circuit protection, circuit isolation, and fault clearing. List the purpose, location, and ratings that circuit breakers are installed in the BESS system: [List (purpose{overcurrent|short-circuit|circuit isolation|fault-clearing} - {output of the PCS to protect the inverter and other power electronics|on the service entrance to provide main protection for the entire BESS from the AC grid|within the AC distribution panel that distribute power to various BESS subsystems such as TMS, Controller, and auxillary services|near critical loads points that require individual protection within the BESS system} - #A max continuous current rating, #V max voltage, #A max fault current, {instantaneous|short-time delay|long-time delay|combination}, auxiliary features {shut-trips, under-voltage releases, auxilary contacts for signaling and control purposes}, # of poles)].</v>
      </c>
      <c r="W27" s="242" t="s">
        <v>275</v>
      </c>
      <c r="X27" s="244" t="s">
        <v>193</v>
      </c>
      <c r="Y27" s="109" t="str">
        <f>'Step 2 - Service Definition|2'!K26</f>
        <v>The primary function is provide overcurrent and  short-circuit protection, circuit isolation, and fault clearing. List the purpose, location, and ratings that circuit breakers are installed in the BESS system: [List (purpose{overcurrent|short-circuit|circuit isolation|fault-clearing} - {output of the PCS to protect the inverter and other power electronics|on the service entrance to provide main protection for the entire BESS from the AC grid|within the AC distribution panel that distribute power to various BESS subsystems such as TMS, Controller, and auxillary services|near critical loads points that require individual protection within the BESS system} - #A max continuous current rating, #V max voltage, #A max fault current, {instantaneous|short-time delay|long-time delay|combination}, auxiliary features {shut-trips, under-voltage releases, auxilary contacts for signaling and control purposes}, # of poles)].</v>
      </c>
      <c r="Z27" s="242" t="s">
        <v>275</v>
      </c>
      <c r="AA27" s="244" t="s">
        <v>193</v>
      </c>
      <c r="AB27" s="57"/>
    </row>
    <row r="28" spans="1:28" ht="315">
      <c r="A28" s="417"/>
      <c r="B28" s="400"/>
      <c r="C28" s="103" t="str">
        <f>'Step 1 - System Definition'!O26</f>
        <v>Control Power Transformer</v>
      </c>
      <c r="D28" s="109" t="str">
        <f>'Step 2 - Service Definition|2'!D27</f>
        <v>The primary function is provide stable and isolated power source for the low-voltage (24VAC - 240VAC) control circuits and devices within the system. List the purpose, location, and ratings that Control Power Transformers are installed in the BESS System: [List (purpose{voltage transformation|Electrical Isolation|Power Conditioning} - {electrical panels that house the BESS control systems, such as the BESS Controller, Site Controller and other automation equipment|Near the HMI Panels and operator workstations|Close to protection relays, communication devices, and other critical monitoring equipment that require a stable power supply} - #VA power rating, Input/Output V rating, {MaxOperateTemp})].</v>
      </c>
      <c r="E28" s="242" t="s">
        <v>275</v>
      </c>
      <c r="F28" s="244" t="s">
        <v>277</v>
      </c>
      <c r="G28" s="250" t="str">
        <f>'Step 2 - Service Definition|2'!E27</f>
        <v>The primary function is provide stable and isolated power source for the low-voltage (24VAC - 240VAC) control circuits and devices within the system. List the purpose, location, and ratings that Control Power Transformers are installed in the BESS System: [List (purpose{voltage transformation|Electrical Isolation|Power Conditioning} - {electrical panels that house the BESS control systems, such as the BESS Controller, Site Controller and other automation equipment|Near the HMI Panels and operator workstations|Close to protection relays, communication devices, and other critical monitoring equipment that require a stable power supply} - #VA power rating, Input/Output V rating, {MaxOperateTemp})].</v>
      </c>
      <c r="H28" s="242" t="s">
        <v>275</v>
      </c>
      <c r="I28" s="244" t="s">
        <v>277</v>
      </c>
      <c r="J28" s="109" t="str">
        <f>'Step 2 - Service Definition|2'!F27</f>
        <v>The primary function is provide stable and isolated power source for the low-voltage (24VAC - 240VAC) control circuits and devices within the system. List the purpose, location, and ratings that Control Power Transformers are installed in the BESS System: [List (purpose{voltage transformation|Electrical Isolation|Power Conditioning} - {electrical panels that house the BESS control systems, such as the BESS Controller, Site Controller and other automation equipment|Near the HMI Panels and operator workstations|Close to protection relays, communication devices, and other critical monitoring equipment that require a stable power supply} - #VA power rating, Input/Output V rating, {MaxOperateTemp})].</v>
      </c>
      <c r="K28" s="242" t="s">
        <v>275</v>
      </c>
      <c r="L28" s="244" t="s">
        <v>277</v>
      </c>
      <c r="M28" s="109" t="str">
        <f>'Step 2 - Service Definition|2'!G27</f>
        <v>The primary function is provide stable and isolated power source for the low-voltage (24VAC - 240VAC) control circuits and devices within the system. List the purpose, location, and ratings that Control Power Transformers are installed in the BESS System: [List (purpose{voltage transformation|Electrical Isolation|Power Conditioning} - {electrical panels that house the BESS control systems, such as the BESS Controller, Site Controller and other automation equipment|Near the HMI Panels and operator workstations|Close to protection relays, communication devices, and other critical monitoring equipment that require a stable power supply} - #VA power rating, Input/Output V rating, {MaxOperateTemp})].</v>
      </c>
      <c r="N28" s="242" t="s">
        <v>275</v>
      </c>
      <c r="O28" s="244" t="s">
        <v>277</v>
      </c>
      <c r="P28" s="109" t="str">
        <f>'Step 2 - Service Definition|2'!H27</f>
        <v>The primary function is provide stable and isolated power source for the low-voltage (24VAC - 240VAC) control circuits and devices within the system. List the purpose, location, and ratings that Control Power Transformers are installed in the BESS System: [List (purpose{voltage transformation|Electrical Isolation|Power Conditioning} - {electrical panels that house the BESS control systems, such as the BESS Controller, Site Controller and other automation equipment|Near the HMI Panels and operator workstations|Close to protection relays, communication devices, and other critical monitoring equipment that require a stable power supply} - #VA power rating, Input/Output V rating, {MaxOperateTemp})].</v>
      </c>
      <c r="Q28" s="242" t="s">
        <v>275</v>
      </c>
      <c r="R28" s="244" t="s">
        <v>277</v>
      </c>
      <c r="S28" s="109" t="str">
        <f>'Step 2 - Service Definition|2'!I27</f>
        <v>The primary function is provide stable and isolated power source for the low-voltage (24VAC - 240VAC) control circuits and devices within the system. List the purpose, location, and ratings that Control Power Transformers are installed in the BESS System: [List (purpose{voltage transformation|Electrical Isolation|Power Conditioning} - {electrical panels that house the BESS control systems, such as the BESS Controller, Site Controller and other automation equipment|Near the HMI Panels and operator workstations|Close to protection relays, communication devices, and other critical monitoring equipment that require a stable power supply} - #VA power rating, Input/Output V rating, {MaxOperateTemp})].</v>
      </c>
      <c r="T28" s="242" t="s">
        <v>275</v>
      </c>
      <c r="U28" s="244" t="s">
        <v>277</v>
      </c>
      <c r="V28" s="109" t="str">
        <f>'Step 2 - Service Definition|2'!J27</f>
        <v>The primary function is provide stable and isolated power source for the low-voltage (24VAC - 240VAC) control circuits and devices within the system. List the purpose, location, and ratings that Control Power Transformers are installed in the BESS System: [List (purpose{voltage transformation|Electrical Isolation|Power Conditioning} - {electrical panels that house the BESS control systems, such as the BESS Controller, Site Controller and other automation equipment|Near the HMI Panels and operator workstations|Close to protection relays, communication devices, and other critical monitoring equipment that require a stable power supply} - #VA power rating, Input/Output V rating, {MaxOperateTemp})].</v>
      </c>
      <c r="W28" s="242" t="s">
        <v>275</v>
      </c>
      <c r="X28" s="244" t="s">
        <v>277</v>
      </c>
      <c r="Y28" s="109" t="str">
        <f>'Step 2 - Service Definition|2'!K27</f>
        <v>The primary function is provide stable and isolated power source for the low-voltage (24VAC - 240VAC) control circuits and devices within the system. List the purpose, location, and ratings that Control Power Transformers are installed in the BESS System: [List (purpose{voltage transformation|Electrical Isolation|Power Conditioning} - {electrical panels that house the BESS control systems, such as the BESS Controller, Site Controller and other automation equipment|Near the HMI Panels and operator workstations|Close to protection relays, communication devices, and other critical monitoring equipment that require a stable power supply} - #VA power rating, Input/Output V rating, {MaxOperateTemp})].</v>
      </c>
      <c r="Z28" s="242" t="s">
        <v>275</v>
      </c>
      <c r="AA28" s="244" t="s">
        <v>277</v>
      </c>
      <c r="AB28" s="57"/>
    </row>
    <row r="29" spans="1:28" ht="360">
      <c r="A29" s="417"/>
      <c r="B29" s="400"/>
      <c r="C29" s="103" t="str">
        <f>'Step 1 - System Definition'!O27</f>
        <v>Local Power Level Transformer</v>
      </c>
      <c r="D29" s="109" t="str">
        <f>'Step 2 - Service Definition|2'!D28</f>
        <v>The primary function is to service local loads not direct connected to the utility grid but services via the microgrid.  List the purpose, location, and ratings that Local Power Transformers are installed in the BESS System: [List (purpose{voltage matching|Electrical Isolation|Power quality} - {near output of the BESS PCS or other energy sources where AC power is generated|At distribution points within the microgrid where power is divided among multiple local loads|close to critical loads that require stable and conditioned power supply} - #VA power rating, Input/Output V rating, Tap Changer:{On-Load|Off-Load|None}, {NumOfPhases}, Cooling:{Oil-Immersed with Radiator|Air-Cooled|Forced-Oil}, {MaxOperateTemp}, Windings:{Wye-Wye|Wye-Delta|Delta-Wye|Delta-Delta}, {Impedance}%)].</v>
      </c>
      <c r="E29" s="242" t="s">
        <v>275</v>
      </c>
      <c r="F29" s="244" t="s">
        <v>277</v>
      </c>
      <c r="G29" s="250" t="str">
        <f>'Step 2 - Service Definition|2'!E28</f>
        <v>The primary function is to service local loads not direct connected to the utility grid but services via the microgrid.  List the purpose, location, and ratings that Local Power Transformers are installed in the BESS System: [List (purpose{voltage matching|Electrical Isolation|Power quality} - {near output of the BESS PCS or other energy sources where AC power is generated|At distribution points within the microgrid where power is divided among multiple local loads|close to critical loads that require stable and conditioned power supply} - #VA power rating, Input/Output V rating, Tap Changer:{On-Load|Off-Load|None}, {NumOfPhases}, Cooling:{Oil-Immersed with Radiator|Air-Cooled|Forced-Oil}, {MaxOperateTemp}, Windings:{Wye-Wye|Wye-Delta|Delta-Wye|Delta-Delta}, {Impedance}%)].</v>
      </c>
      <c r="H29" s="242" t="s">
        <v>275</v>
      </c>
      <c r="I29" s="244" t="s">
        <v>277</v>
      </c>
      <c r="J29" s="109" t="str">
        <f>'Step 2 - Service Definition|2'!F28</f>
        <v>The primary function is to service local loads not direct connected to the utility grid but services via the microgrid.  List the purpose, location, and ratings that Local Power Transformers are installed in the BESS System: [List (purpose{voltage matching|Electrical Isolation|Power quality} - {near output of the BESS PCS or other energy sources where AC power is generated|At distribution points within the microgrid where power is divided among multiple local loads|close to critical loads that require stable and conditioned power supply} - #VA power rating, Input/Output V rating, Tap Changer:{On-Load|Off-Load|None}, {NumOfPhases}, Cooling:{Oil-Immersed with Radiator|Air-Cooled|Forced-Oil}, {MaxOperateTemp}, Windings:{Wye-Wye|Wye-Delta|Delta-Wye|Delta-Delta}, {Impedance}%)].</v>
      </c>
      <c r="K29" s="242" t="s">
        <v>275</v>
      </c>
      <c r="L29" s="244" t="s">
        <v>277</v>
      </c>
      <c r="M29" s="109" t="str">
        <f>'Step 2 - Service Definition|2'!G28</f>
        <v>The primary function is to service local loads not direct connected to the utility grid but services via the microgrid.  List the purpose, location, and ratings that Local Power Transformers are installed in the BESS System: [List (purpose{voltage matching|Electrical Isolation|Power quality} - {near output of the BESS PCS or other energy sources where AC power is generated|At distribution points within the microgrid where power is divided among multiple local loads|close to critical loads that require stable and conditioned power supply} - #VA power rating, Input/Output V rating, Tap Changer:{On-Load|Off-Load|None}, {NumOfPhases}, Cooling:{Oil-Immersed with Radiator|Air-Cooled|Forced-Oil}, {MaxOperateTemp}, Windings:{Wye-Wye|Wye-Delta|Delta-Wye|Delta-Delta}, {Impedance}%)].</v>
      </c>
      <c r="N29" s="242" t="s">
        <v>275</v>
      </c>
      <c r="O29" s="244" t="s">
        <v>277</v>
      </c>
      <c r="P29" s="109" t="str">
        <f>'Step 2 - Service Definition|2'!H28</f>
        <v>The primary function is to service local loads not direct connected to the utility grid but services via the microgrid.  List the purpose, location, and ratings that Local Power Transformers are installed in the BESS System: [List (purpose{voltage matching|Electrical Isolation|Power quality} - {near output of the BESS PCS or other energy sources where AC power is generated|At distribution points within the microgrid where power is divided among multiple local loads|close to critical loads that require stable and conditioned power supply} - #VA power rating, Input/Output V rating, Tap Changer:{On-Load|Off-Load|None}, {NumOfPhases}, Cooling:{Oil-Immersed with Radiator|Air-Cooled|Forced-Oil}, {MaxOperateTemp}, Windings:{Wye-Wye|Wye-Delta|Delta-Wye|Delta-Delta}, {Impedance}%)].</v>
      </c>
      <c r="Q29" s="242" t="s">
        <v>275</v>
      </c>
      <c r="R29" s="244" t="s">
        <v>277</v>
      </c>
      <c r="S29" s="109" t="str">
        <f>'Step 2 - Service Definition|2'!I28</f>
        <v>The primary function is to service local loads not direct connected to the utility grid but services via the microgrid.  List the purpose, location, and ratings that Local Power Transformers are installed in the BESS System: [List (purpose{voltage matching|Electrical Isolation|Power quality} - {near output of the BESS PCS or other energy sources where AC power is generated|At distribution points within the microgrid where power is divided among multiple local loads|close to critical loads that require stable and conditioned power supply} - #VA power rating, Input/Output V rating, Tap Changer:{On-Load|Off-Load|None}, {NumOfPhases}, Cooling:{Oil-Immersed with Radiator|Air-Cooled|Forced-Oil}, {MaxOperateTemp}, Windings:{Wye-Wye|Wye-Delta|Delta-Wye|Delta-Delta}, {Impedance}%)].</v>
      </c>
      <c r="T29" s="242" t="s">
        <v>275</v>
      </c>
      <c r="U29" s="244" t="s">
        <v>277</v>
      </c>
      <c r="V29" s="109" t="str">
        <f>'Step 2 - Service Definition|2'!J28</f>
        <v>The primary function is to service local loads not direct connected to the utility grid but services via the microgrid.  List the purpose, location, and ratings that Local Power Transformers are installed in the BESS System: [List (purpose{voltage matching|Electrical Isolation|Power quality} - {near output of the BESS PCS or other energy sources where AC power is generated|At distribution points within the microgrid where power is divided among multiple local loads|close to critical loads that require stable and conditioned power supply} - #VA power rating, Input/Output V rating, Tap Changer:{On-Load|Off-Load|None}, {NumOfPhases}, Cooling:{Oil-Immersed with Radiator|Air-Cooled|Forced-Oil}, {MaxOperateTemp}, Windings:{Wye-Wye|Wye-Delta|Delta-Wye|Delta-Delta}, {Impedance}%)].</v>
      </c>
      <c r="W29" s="242" t="s">
        <v>275</v>
      </c>
      <c r="X29" s="244" t="s">
        <v>277</v>
      </c>
      <c r="Y29" s="109" t="str">
        <f>'Step 2 - Service Definition|2'!K28</f>
        <v>The primary function is to service local loads not direct connected to the utility grid but services via the microgrid.  List the purpose, location, and ratings that Local Power Transformers are installed in the BESS System: [List (purpose{voltage matching|Electrical Isolation|Power quality} - {near output of the BESS PCS or other energy sources where AC power is generated|At distribution points within the microgrid where power is divided among multiple local loads|close to critical loads that require stable and conditioned power supply} - #VA power rating, Input/Output V rating, Tap Changer:{On-Load|Off-Load|None}, {NumOfPhases}, Cooling:{Oil-Immersed with Radiator|Air-Cooled|Forced-Oil}, {MaxOperateTemp}, Windings:{Wye-Wye|Wye-Delta|Delta-Wye|Delta-Delta}, {Impedance}%)].</v>
      </c>
      <c r="Z29" s="242" t="s">
        <v>275</v>
      </c>
      <c r="AA29" s="244" t="s">
        <v>277</v>
      </c>
      <c r="AB29" s="57"/>
    </row>
    <row r="30" spans="1:28" ht="255">
      <c r="A30" s="417"/>
      <c r="B30" s="400"/>
      <c r="C30" s="103" t="str">
        <f>'Step 1 - System Definition'!O28</f>
        <v>Utility Power Level Transformer</v>
      </c>
      <c r="D30" s="109" t="str">
        <f>'Step 2 - Service Definition|2'!D29</f>
        <v>The primary function is provide power connection between the site installation and the electrical grid. List the purpose, location, and ratings that Control Power Transformers are installed in the BESS Site: [List (purpose{voltage transformation|Electrical Isolation|impedance matching} - {at the PCC between the site and the grid} - #VA power rating, Input/Output V rating, Tap Changer:{On-Load|Off-Load|None}, {MaxOperateTemp}, Cooling:{Oil-Immersed with Radiator|Air-Cooled|Forced-Oil}, Windings:{Wye-Wye|Wye-Delta|Delta-Wye|Delta-Delta}, {Impedance}%)].</v>
      </c>
      <c r="E30" s="242" t="s">
        <v>275</v>
      </c>
      <c r="F30" s="244" t="s">
        <v>277</v>
      </c>
      <c r="G30" s="250" t="str">
        <f>'Step 2 - Service Definition|2'!E29</f>
        <v>The primary function is provide power connection between the site installation and the electrical grid. List the purpose, location, and ratings that Control Power Transformers are installed in the BESS Site: [List (purpose{voltage transformation|Electrical Isolation|impedance matching} - {at the PCC between the site and the grid} - #VA power rating, Input/Output V rating, Tap Changer:{On-Load|Off-Load|None}, {MaxOperateTemp}, Cooling:{Oil-Immersed with Radiator|Air-Cooled|Forced-Oil}, Windings:{Wye-Wye|Wye-Delta|Delta-Wye|Delta-Delta}, {Impedance}%)].</v>
      </c>
      <c r="H30" s="242" t="s">
        <v>275</v>
      </c>
      <c r="I30" s="244" t="s">
        <v>277</v>
      </c>
      <c r="J30" s="109" t="str">
        <f>'Step 2 - Service Definition|2'!F29</f>
        <v>The primary function is provide power connection between the site installation and the electrical grid. List the purpose, location, and ratings that Control Power Transformers are installed in the BESS Site: [List (purpose{voltage transformation|Electrical Isolation|impedance matching} - {at the PCC between the site and the grid} - #VA power rating, Input/Output V rating, Tap Changer:{On-Load|Off-Load|None}, {MaxOperateTemp}, Cooling:{Oil-Immersed with Radiator|Air-Cooled|Forced-Oil}, Windings:{Wye-Wye|Wye-Delta|Delta-Wye|Delta-Delta}, {Impedance}%)].</v>
      </c>
      <c r="K30" s="242" t="s">
        <v>275</v>
      </c>
      <c r="L30" s="244" t="s">
        <v>277</v>
      </c>
      <c r="M30" s="109" t="str">
        <f>'Step 2 - Service Definition|2'!G29</f>
        <v>The primary function is provide power connection between the site installation and the electrical grid. List the purpose, location, and ratings that Control Power Transformers are installed in the BESS Site: [List (purpose{voltage transformation|Electrical Isolation|impedance matching} - {at the PCC between the site and the grid} - #VA power rating, Input/Output V rating, Tap Changer:{On-Load|Off-Load|None}, {MaxOperateTemp}, Cooling:{Oil-Immersed with Radiator|Air-Cooled|Forced-Oil}, Windings:{Wye-Wye|Wye-Delta|Delta-Wye|Delta-Delta}, {Impedance}%)].</v>
      </c>
      <c r="N30" s="242" t="s">
        <v>275</v>
      </c>
      <c r="O30" s="244" t="s">
        <v>277</v>
      </c>
      <c r="P30" s="109" t="str">
        <f>'Step 2 - Service Definition|2'!H29</f>
        <v>The primary function is provide power connection between the site installation and the electrical grid. List the purpose, location, and ratings that Control Power Transformers are installed in the BESS Site: [List (purpose{voltage transformation|Electrical Isolation|impedance matching} - {at the PCC between the site and the grid} - #VA power rating, Input/Output V rating, Tap Changer:{On-Load|Off-Load|None}, {MaxOperateTemp}, Cooling:{Oil-Immersed with Radiator|Air-Cooled|Forced-Oil}, Windings:{Wye-Wye|Wye-Delta|Delta-Wye|Delta-Delta}, {Impedance}%)].</v>
      </c>
      <c r="Q30" s="242" t="s">
        <v>275</v>
      </c>
      <c r="R30" s="244" t="s">
        <v>277</v>
      </c>
      <c r="S30" s="109" t="str">
        <f>'Step 2 - Service Definition|2'!I29</f>
        <v>The primary function is provide power connection between the site installation and the electrical grid. List the purpose, location, and ratings that Control Power Transformers are installed in the BESS Site: [List (purpose{voltage transformation|Electrical Isolation|impedance matching} - {at the PCC between the site and the grid} - #VA power rating, Input/Output V rating, Tap Changer:{On-Load|Off-Load|None}, {MaxOperateTemp}, Cooling:{Oil-Immersed with Radiator|Air-Cooled|Forced-Oil}, Windings:{Wye-Wye|Wye-Delta|Delta-Wye|Delta-Delta}, {Impedance}%)].</v>
      </c>
      <c r="T30" s="242" t="s">
        <v>275</v>
      </c>
      <c r="U30" s="244" t="s">
        <v>277</v>
      </c>
      <c r="V30" s="109" t="str">
        <f>'Step 2 - Service Definition|2'!J29</f>
        <v>The primary function is provide power connection between the site installation and the electrical grid. List the purpose, location, and ratings that Control Power Transformers are installed in the BESS Site: [List (purpose{voltage transformation|Electrical Isolation|impedance matching} - {at the PCC between the site and the grid} - #VA power rating, Input/Output V rating, Tap Changer:{On-Load|Off-Load|None}, {MaxOperateTemp}, Cooling:{Oil-Immersed with Radiator|Air-Cooled|Forced-Oil}, Windings:{Wye-Wye|Wye-Delta|Delta-Wye|Delta-Delta}, {Impedance}%)].</v>
      </c>
      <c r="W30" s="242" t="s">
        <v>275</v>
      </c>
      <c r="X30" s="244" t="s">
        <v>277</v>
      </c>
      <c r="Y30" s="109" t="str">
        <f>'Step 2 - Service Definition|2'!K29</f>
        <v>The primary function is provide power connection between the site installation and the electrical grid. List the purpose, location, and ratings that Control Power Transformers are installed in the BESS Site: [List (purpose{voltage transformation|Electrical Isolation|impedance matching} - {at the PCC between the site and the grid} - #VA power rating, Input/Output V rating, Tap Changer:{On-Load|Off-Load|None}, {MaxOperateTemp}, Cooling:{Oil-Immersed with Radiator|Air-Cooled|Forced-Oil}, Windings:{Wye-Wye|Wye-Delta|Delta-Wye|Delta-Delta}, {Impedance}%)].</v>
      </c>
      <c r="Z30" s="242" t="s">
        <v>275</v>
      </c>
      <c r="AA30" s="244" t="s">
        <v>277</v>
      </c>
      <c r="AB30" s="57"/>
    </row>
    <row r="31" spans="1:28" ht="409.5">
      <c r="A31" s="417"/>
      <c r="B31" s="400"/>
      <c r="C31" s="103" t="str">
        <f>'Step 1 - System Definition'!O29</f>
        <v>Local Power Level Switchgear</v>
      </c>
      <c r="D31" s="109" t="str">
        <f>'Step 2 - Service Definition|2'!D30</f>
        <v>The primary function is to manage the distribution and control of electrical power within the microgrid, independent of the utility grid, handling the voltage levels suitable for local distribution typically at the medium or low voltage range. List the purpose, location, and ratings that Lower Power Level Switchgear are installed in the BESS Site: [List (purpose{distribution control|protection|isolation|load management|metering} - {substations or dedicated enclosures in the BESS Site|Close proximity to the BESS to connect the Energy Sources with the local distribution network|strategic locations in the microgrid to control the distribution of power to various load centers},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E31" s="242" t="s">
        <v>275</v>
      </c>
      <c r="F31" s="244" t="s">
        <v>193</v>
      </c>
      <c r="G31" s="250" t="str">
        <f>'Step 2 - Service Definition|2'!E30</f>
        <v>The primary function is to manage the distribution and control of electrical power within the microgrid, independent of the utility grid, handling the voltage levels suitable for local distribution typically at the medium or low voltage range. List the purpose, location, and ratings that Lower Power Level Switchgear are installed in the BESS Site: [List (purpose{distribution control|protection|isolation|load management|metering} - {substations or dedicated enclosures in the BESS Site|Close proximity to the BESS to connect the Energy Sources with the local distribution network|strategic locations in the microgrid to control the distribution of power to various load centers},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H31" s="242" t="s">
        <v>275</v>
      </c>
      <c r="I31" s="244" t="s">
        <v>193</v>
      </c>
      <c r="J31" s="109" t="str">
        <f>'Step 2 - Service Definition|2'!F30</f>
        <v>The primary function is to manage the distribution and control of electrical power within the microgrid, independent of the utility grid, handling the voltage levels suitable for local distribution typically at the medium or low voltage range. List the purpose, location, and ratings that Lower Power Level Switchgear are installed in the BESS Site: [List (purpose{distribution control|protection|isolation|load management|metering} - {substations or dedicated enclosures in the BESS Site|Close proximity to the BESS to connect the Energy Sources with the local distribution network|strategic locations in the microgrid to control the distribution of power to various load centers},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K31" s="242" t="s">
        <v>275</v>
      </c>
      <c r="L31" s="244" t="s">
        <v>193</v>
      </c>
      <c r="M31" s="109" t="str">
        <f>'Step 2 - Service Definition|2'!G30</f>
        <v>The primary function is to manage the distribution and control of electrical power within the microgrid, independent of the utility grid, handling the voltage levels suitable for local distribution typically at the medium or low voltage range. List the purpose, location, and ratings that Lower Power Level Switchgear are installed in the BESS Site: [List (purpose{distribution control|protection|isolation|load management|metering} - {substations or dedicated enclosures in the BESS Site|Close proximity to the BESS to connect the Energy Sources with the local distribution network|strategic locations in the microgrid to control the distribution of power to various load centers},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N31" s="242" t="s">
        <v>275</v>
      </c>
      <c r="O31" s="244" t="s">
        <v>193</v>
      </c>
      <c r="P31" s="109" t="str">
        <f>'Step 2 - Service Definition|2'!H30</f>
        <v>The primary function is to manage the distribution and control of electrical power within the microgrid, independent of the utility grid, handling the voltage levels suitable for local distribution typically at the medium or low voltage range. List the purpose, location, and ratings that Lower Power Level Switchgear are installed in the BESS Site: [List (purpose{distribution control|protection|isolation|load management|metering} - {substations or dedicated enclosures in the BESS Site|Close proximity to the BESS to connect the Energy Sources with the local distribution network|strategic locations in the microgrid to control the distribution of power to various load centers},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Q31" s="242" t="s">
        <v>275</v>
      </c>
      <c r="R31" s="244" t="s">
        <v>193</v>
      </c>
      <c r="S31" s="109" t="str">
        <f>'Step 2 - Service Definition|2'!I30</f>
        <v>The primary function is to manage the distribution and control of electrical power within the microgrid, independent of the utility grid, handling the voltage levels suitable for local distribution typically at the medium or low voltage range. List the purpose, location, and ratings that Lower Power Level Switchgear are installed in the BESS Site: [List (purpose{distribution control|protection|isolation|load management|metering} - {substations or dedicated enclosures in the BESS Site|Close proximity to the BESS to connect the Energy Sources with the local distribution network|strategic locations in the microgrid to control the distribution of power to various load centers},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T31" s="242" t="s">
        <v>275</v>
      </c>
      <c r="U31" s="244" t="s">
        <v>193</v>
      </c>
      <c r="V31" s="109" t="str">
        <f>'Step 2 - Service Definition|2'!J30</f>
        <v>The primary function is to manage the distribution and control of electrical power within the microgrid, independent of the utility grid, handling the voltage levels suitable for local distribution typically at the medium or low voltage range. List the purpose, location, and ratings that Lower Power Level Switchgear are installed in the BESS Site: [List (purpose{distribution control|protection|isolation|load management|metering} - {substations or dedicated enclosures in the BESS Site|Close proximity to the BESS to connect the Energy Sources with the local distribution network|strategic locations in the microgrid to control the distribution of power to various load centers},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W31" s="242" t="s">
        <v>275</v>
      </c>
      <c r="X31" s="244" t="s">
        <v>193</v>
      </c>
      <c r="Y31" s="109" t="str">
        <f>'Step 2 - Service Definition|2'!K30</f>
        <v>The primary function is to manage the distribution and control of electrical power within the microgrid, independent of the utility grid, handling the voltage levels suitable for local distribution typically at the medium or low voltage range. List the purpose, location, and ratings that Lower Power Level Switchgear are installed in the BESS Site: [List (purpose{distribution control|protection|isolation|load management|metering} - {substations or dedicated enclosures in the BESS Site|Close proximity to the BESS to connect the Energy Sources with the local distribution network|strategic locations in the microgrid to control the distribution of power to various load centers},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Z31" s="242" t="s">
        <v>275</v>
      </c>
      <c r="AA31" s="244" t="s">
        <v>193</v>
      </c>
      <c r="AB31" s="57"/>
    </row>
    <row r="32" spans="1:28" ht="390">
      <c r="A32" s="417"/>
      <c r="B32" s="400"/>
      <c r="C32" s="103" t="str">
        <f>'Step 1 - System Definition'!O30</f>
        <v>Utility Power Level Switchgear</v>
      </c>
      <c r="D32" s="109" t="str">
        <f>'Step 2 - Service Definition|2'!D31</f>
        <v>The primary function is provide the interface between the site and the grid, handling the high power levels typical of utility-scale electrical infrastructure. List the purpose, location, and ratings that Utility Power Level Switchgear are installed in the BESS Site: [List (purpose{grid connection|protection|isolation|control and monitoring|load management} - {at the PCC between the site and the grid|dedicated enclosure that are part of the BESS site but designed for interfacing with the utility grid},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E32" s="242" t="s">
        <v>275</v>
      </c>
      <c r="F32" s="244" t="s">
        <v>193</v>
      </c>
      <c r="G32" s="250" t="str">
        <f>'Step 2 - Service Definition|2'!E31</f>
        <v>The primary function is provide the interface between the site and the grid, handling the high power levels typical of utility-scale electrical infrastructure. List the purpose, location, and ratings that Utility Power Level Switchgear are installed in the BESS Site: [List (purpose{grid connection|protection|isolation|control and monitoring|load management} - {at the PCC between the site and the grid|dedicated enclosure that are part of the BESS site but designed for interfacing with the utility grid},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H32" s="242" t="s">
        <v>275</v>
      </c>
      <c r="I32" s="244" t="s">
        <v>193</v>
      </c>
      <c r="J32" s="109" t="str">
        <f>'Step 2 - Service Definition|2'!F31</f>
        <v>The primary function is provide the interface between the site and the grid, handling the high power levels typical of utility-scale electrical infrastructure. List the purpose, location, and ratings that Utility Power Level Switchgear are installed in the BESS Site: [List (purpose{grid connection|protection|isolation|control and monitoring|load management} - {at the PCC between the site and the grid|dedicated enclosure that are part of the BESS site but designed for interfacing with the utility grid},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K32" s="242" t="s">
        <v>275</v>
      </c>
      <c r="L32" s="244" t="s">
        <v>193</v>
      </c>
      <c r="M32" s="109" t="str">
        <f>'Step 2 - Service Definition|2'!G31</f>
        <v>The primary function is provide the interface between the site and the grid, handling the high power levels typical of utility-scale electrical infrastructure. List the purpose, location, and ratings that Utility Power Level Switchgear are installed in the BESS Site: [List (purpose{grid connection|protection|isolation|control and monitoring|load management} - {at the PCC between the site and the grid|dedicated enclosure that are part of the BESS site but designed for interfacing with the utility grid},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N32" s="242" t="s">
        <v>275</v>
      </c>
      <c r="O32" s="244" t="s">
        <v>193</v>
      </c>
      <c r="P32" s="109" t="str">
        <f>'Step 2 - Service Definition|2'!H31</f>
        <v>The primary function is provide the interface between the site and the grid, handling the high power levels typical of utility-scale electrical infrastructure. List the purpose, location, and ratings that Utility Power Level Switchgear are installed in the BESS Site: [List (purpose{grid connection|protection|isolation|control and monitoring|load management} - {at the PCC between the site and the grid|dedicated enclosure that are part of the BESS site but designed for interfacing with the utility grid},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Q32" s="242" t="s">
        <v>275</v>
      </c>
      <c r="R32" s="244" t="s">
        <v>193</v>
      </c>
      <c r="S32" s="109" t="str">
        <f>'Step 2 - Service Definition|2'!I31</f>
        <v>The primary function is provide the interface between the site and the grid, handling the high power levels typical of utility-scale electrical infrastructure. List the purpose, location, and ratings that Utility Power Level Switchgear are installed in the BESS Site: [List (purpose{grid connection|protection|isolation|control and monitoring|load management} - {at the PCC between the site and the grid|dedicated enclosure that are part of the BESS site but designed for interfacing with the utility grid},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T32" s="242" t="s">
        <v>275</v>
      </c>
      <c r="U32" s="244" t="s">
        <v>193</v>
      </c>
      <c r="V32" s="109" t="str">
        <f>'Step 2 - Service Definition|2'!J31</f>
        <v>The primary function is provide the interface between the site and the grid, handling the high power levels typical of utility-scale electrical infrastructure. List the purpose, location, and ratings that Utility Power Level Switchgear are installed in the BESS Site: [List (purpose{grid connection|protection|isolation|control and monitoring|load management} - {at the PCC between the site and the grid|dedicated enclosure that are part of the BESS site but designed for interfacing with the utility grid},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W32" s="242" t="s">
        <v>275</v>
      </c>
      <c r="X32" s="244" t="s">
        <v>193</v>
      </c>
      <c r="Y32" s="109" t="str">
        <f>'Step 2 - Service Definition|2'!K31</f>
        <v>The primary function is provide the interface between the site and the grid, handling the high power levels typical of utility-scale electrical infrastructure. List the purpose, location, and ratings that Utility Power Level Switchgear are installed in the BESS Site: [List (purpose{grid connection|protection|isolation|control and monitoring|load management} - {at the PCC between the site and the grid|dedicated enclosure that are part of the BESS site but designed for interfacing with the utility grid}, #A max current, #V max voltage, #A max fault current, Automation Capabilities: {automation|remote-control|etc.}, Communicates: {Status indicators|fault conditions such as overcurrent, ground fault, or over/under voltage|metering data|control signals such as open/close breakers, setting protection parameters, load shedding protocols}, Communicates to: {Components})].</v>
      </c>
      <c r="Z32" s="242" t="s">
        <v>275</v>
      </c>
      <c r="AA32" s="244" t="s">
        <v>193</v>
      </c>
      <c r="AB32" s="57"/>
    </row>
    <row r="33" spans="1:28" ht="390">
      <c r="A33" s="417"/>
      <c r="B33" s="400"/>
      <c r="C33" s="103" t="str">
        <f>'Step 1 - System Definition'!O31</f>
        <v>Recloser</v>
      </c>
      <c r="D33" s="109" t="str">
        <f>'Step 2 - Service Definition|2'!D32</f>
        <v>The primary function is automated high-voltage electric switch to protect the grid which can automatically restore power after a fault clears. The recloser has the following purposes [fault detection and interruption|automatic reclosing|configurable operations|isolation of faulted sections]. The Recloser is installed at [PCC between the BESS site and the grid|other]. The rated voltage is [MaxVoltage]V, the rated current is [MaxCurr]A. The number of reclosing attempts is [#] with a timing between attempts of [#] [seconds|milliseconds]. The trip sensitivity is {TripSensitivity}. The mechanism type for opening and closing the contacts is [magnetic|hydraulic|spring-loaded|other]. The recloser communicates to: [List (Component - parameters)] and received communication from: [List (Component - parameters)].</v>
      </c>
      <c r="E33" s="242" t="s">
        <v>275</v>
      </c>
      <c r="F33" s="244" t="s">
        <v>277</v>
      </c>
      <c r="G33" s="250" t="str">
        <f>'Step 2 - Service Definition|2'!E32</f>
        <v>The primary function is automated high-voltage electric switch to protect the grid which can automatically restore power after a fault clears. The recloser has the following purposes [fault detection and interruption|automatic reclosing|configurable operations|isolation of faulted sections]. The Recloser is installed at [PCC between the BESS site and the grid|other]. The rated voltage is [MaxVoltage]V, the rated current is [MaxCurr]A. The number of reclosing attempts is [#] with a timing between attempts of [#] [seconds|milliseconds]. The trip sensitivity is {TripSensitivity}. The mechanism type for opening and closing the contacts is [magnetic|hydraulic|spring-loaded|other]. The recloser communicates to: [List (Component - parameters)] and received communication from: [List (Component - parameters)].</v>
      </c>
      <c r="H33" s="242" t="s">
        <v>275</v>
      </c>
      <c r="I33" s="244" t="s">
        <v>277</v>
      </c>
      <c r="J33" s="109" t="str">
        <f>'Step 2 - Service Definition|2'!F32</f>
        <v>The primary function is automated high-voltage electric switch to protect the grid which can automatically restore power after a fault clears. The recloser has the following purposes [fault detection and interruption|automatic reclosing|configurable operations|isolation of faulted sections]. The Recloser is installed at [PCC between the BESS site and the grid|other]. The rated voltage is [MaxVoltage]V, the rated current is [MaxCurr]A. The number of reclosing attempts is [#] with a timing between attempts of [#] [seconds|milliseconds]. The trip sensitivity is {TripSensitivity}. The mechanism type for opening and closing the contacts is [magnetic|hydraulic|spring-loaded|other]. The recloser communicates to: [List (Component - parameters)] and received communication from: [List (Component - parameters)].</v>
      </c>
      <c r="K33" s="242" t="s">
        <v>275</v>
      </c>
      <c r="L33" s="244" t="s">
        <v>277</v>
      </c>
      <c r="M33" s="109" t="str">
        <f>'Step 2 - Service Definition|2'!G32</f>
        <v>The primary function is automated high-voltage electric switch to protect the grid which can automatically restore power after a fault clears. The recloser has the following purposes [fault detection and interruption|automatic reclosing|configurable operations|isolation of faulted sections]. The Recloser is installed at [PCC between the BESS site and the grid|other]. The rated voltage is [MaxVoltage]V, the rated current is [MaxCurr]A. The number of reclosing attempts is [#] with a timing between attempts of [#] [seconds|milliseconds]. The trip sensitivity is {TripSensitivity}. The mechanism type for opening and closing the contacts is [magnetic|hydraulic|spring-loaded|other]. The recloser communicates to: [List (Component - parameters)] and received communication from: [List (Component - parameters)].</v>
      </c>
      <c r="N33" s="242" t="s">
        <v>275</v>
      </c>
      <c r="O33" s="244" t="s">
        <v>277</v>
      </c>
      <c r="P33" s="109" t="str">
        <f>'Step 2 - Service Definition|2'!H32</f>
        <v>The primary function is automated high-voltage electric switch to protect the grid which can automatically restore power after a fault clears. The recloser has the following purposes [fault detection and interruption|automatic reclosing|configurable operations|isolation of faulted sections]. The Recloser is installed at [PCC between the BESS site and the grid|other]. The rated voltage is [MaxVoltage]V, the rated current is [MaxCurr]A. The number of reclosing attempts is [#] with a timing between attempts of [#] [seconds|milliseconds]. The trip sensitivity is {TripSensitivity}. The mechanism type for opening and closing the contacts is [magnetic|hydraulic|spring-loaded|other]. The recloser communicates to: [List (Component - parameters)] and received communication from: [List (Component - parameters)].</v>
      </c>
      <c r="Q33" s="242" t="s">
        <v>275</v>
      </c>
      <c r="R33" s="244" t="s">
        <v>277</v>
      </c>
      <c r="S33" s="109" t="str">
        <f>'Step 2 - Service Definition|2'!I32</f>
        <v>The primary function is automated high-voltage electric switch to protect the grid which can automatically restore power after a fault clears. The recloser has the following purposes [fault detection and interruption|automatic reclosing|configurable operations|isolation of faulted sections]. The Recloser is installed at [PCC between the BESS site and the grid|other]. The rated voltage is [MaxVoltage]V, the rated current is [MaxCurr]A. The number of reclosing attempts is [#] with a timing between attempts of [#] [seconds|milliseconds]. The trip sensitivity is {TripSensitivity}. The mechanism type for opening and closing the contacts is [magnetic|hydraulic|spring-loaded|other]. The recloser communicates to: [List (Component - parameters)] and received communication from: [List (Component - parameters)].</v>
      </c>
      <c r="T33" s="242" t="s">
        <v>275</v>
      </c>
      <c r="U33" s="244" t="s">
        <v>277</v>
      </c>
      <c r="V33" s="109" t="str">
        <f>'Step 2 - Service Definition|2'!J32</f>
        <v>The primary function is automated high-voltage electric switch to protect the grid which can automatically restore power after a fault clears. The recloser has the following purposes [fault detection and interruption|automatic reclosing|configurable operations|isolation of faulted sections]. The Recloser is installed at [PCC between the BESS site and the grid|other]. The rated voltage is [MaxVoltage]V, the rated current is [MaxCurr]A. The number of reclosing attempts is [#] with a timing between attempts of [#] [seconds|milliseconds]. The trip sensitivity is {TripSensitivity}. The mechanism type for opening and closing the contacts is [magnetic|hydraulic|spring-loaded|other]. The recloser communicates to: [List (Component - parameters)] and received communication from: [List (Component - parameters)].</v>
      </c>
      <c r="W33" s="242" t="s">
        <v>275</v>
      </c>
      <c r="X33" s="244" t="s">
        <v>277</v>
      </c>
      <c r="Y33" s="109" t="str">
        <f>'Step 2 - Service Definition|2'!K32</f>
        <v>The primary function is automated high-voltage electric switch to protect the grid which can automatically restore power after a fault clears. The recloser has the following purposes [fault detection and interruption|automatic reclosing|configurable operations|isolation of faulted sections]. The Recloser is installed at [PCC between the BESS site and the grid|other]. The rated voltage is [MaxVoltage]V, the rated current is [MaxCurr]A. The number of reclosing attempts is [#] with a timing between attempts of [#] [seconds|milliseconds]. The trip sensitivity is {TripSensitivity}. The mechanism type for opening and closing the contacts is [magnetic|hydraulic|spring-loaded|other]. The recloser communicates to: [List (Component - parameters)] and received communication from: [List (Component - parameters)].</v>
      </c>
      <c r="Z33" s="242" t="s">
        <v>275</v>
      </c>
      <c r="AA33" s="244" t="s">
        <v>277</v>
      </c>
      <c r="AB33" s="57"/>
    </row>
    <row r="34" spans="1:28" ht="409.6" thickBot="1">
      <c r="A34" s="417"/>
      <c r="B34" s="399"/>
      <c r="C34" s="104" t="str">
        <f>'Step 1 - System Definition'!O32</f>
        <v>Protection Relay(s)</v>
      </c>
      <c r="D34" s="110" t="str">
        <f>'Step 2 - Service Definition|2'!D33</f>
        <v>The primary function is to monitor electrical parameters and initiate protective actions when those paramters indicate abnormal or fault conditions. List the purpose, location, and ratings that protection relays are installed in the BESS Site: [List (purpose{fault detection|system protection|selective coordination|event recording} - {at PCS to protect inverter and converters|within switchgear and panel boards that distribute power to the BESS and associated systems|alongside transformers and at PCC to the grid to protect faults transmitted through the transformer or from the grid|place where electrical circuits could be exposed to fault conditions such as feeder lines to critical loads}, Communicates: List({trip signals|alarm and status signals|event and data logging|control commands}, [DNP3|ModbusTCP|IEC61850|other], Communicates to: {Components}), {ResponseTime}, {[Yes|No]UserInterface present for [programming|monitoring|diagnostics]})].</v>
      </c>
      <c r="E34" s="246" t="s">
        <v>275</v>
      </c>
      <c r="F34" s="247" t="s">
        <v>277</v>
      </c>
      <c r="G34" s="251" t="str">
        <f>'Step 2 - Service Definition|2'!E33</f>
        <v>The primary function is to monitor electrical parameters and initiate protective actions when those paramters indicate abnormal or fault conditions. List the purpose, location, and ratings that protection relays are installed in the BESS Site: [List (purpose{fault detection|system protection|selective coordination|event recording} - {at PCS to protect inverter and converters|within switchgear and panel boards that distribute power to the BESS and associated systems|alongside transformers and at PCC to the grid to protect faults transmitted through the transformer or from the grid|place where electrical circuits could be exposed to fault conditions such as feeder lines to critical loads}, Communicates: List({trip signals|alarm and status signals|event and data logging|control commands}, [DNP3|ModbusTCP|IEC61850|other], Communicates to: {Components}), {ResponseTime}, {[Yes|No]UserInterface present for [programming|monitoring|diagnostics]})].</v>
      </c>
      <c r="H34" s="246" t="s">
        <v>275</v>
      </c>
      <c r="I34" s="247" t="s">
        <v>277</v>
      </c>
      <c r="J34" s="110" t="str">
        <f>'Step 2 - Service Definition|2'!F33</f>
        <v>The primary function is to monitor electrical parameters and initiate protective actions when those paramters indicate abnormal or fault conditions. List the purpose, location, and ratings that protection relays are installed in the BESS Site: [List (purpose{fault detection|system protection|selective coordination|event recording} - {at PCS to protect inverter and converters|within switchgear and panel boards that distribute power to the BESS and associated systems|alongside transformers and at PCC to the grid to protect faults transmitted through the transformer or from the grid|place where electrical circuits could be exposed to fault conditions such as feeder lines to critical loads}, Communicates: List({trip signals|alarm and status signals|event and data logging|control commands}, [DNP3|ModbusTCP|IEC61850|other], Communicates to: {Components}), {ResponseTime}, {[Yes|No]UserInterface present for [programming|monitoring|diagnostics]})].</v>
      </c>
      <c r="K34" s="246" t="s">
        <v>275</v>
      </c>
      <c r="L34" s="247" t="s">
        <v>277</v>
      </c>
      <c r="M34" s="110" t="str">
        <f>'Step 2 - Service Definition|2'!G33</f>
        <v>The primary function is to monitor electrical parameters and initiate protective actions when those paramters indicate abnormal or fault conditions. List the purpose, location, and ratings that protection relays are installed in the BESS Site: [List (purpose{fault detection|system protection|selective coordination|event recording} - {at PCS to protect inverter and converters|within switchgear and panel boards that distribute power to the BESS and associated systems|alongside transformers and at PCC to the grid to protect faults transmitted through the transformer or from the grid|place where electrical circuits could be exposed to fault conditions such as feeder lines to critical loads}, Communicates: List({trip signals|alarm and status signals|event and data logging|control commands}, [DNP3|ModbusTCP|IEC61850|other], Communicates to: {Components}), {ResponseTime}, {[Yes|No]UserInterface present for [programming|monitoring|diagnostics]})].</v>
      </c>
      <c r="N34" s="246" t="s">
        <v>275</v>
      </c>
      <c r="O34" s="247" t="s">
        <v>277</v>
      </c>
      <c r="P34" s="110" t="str">
        <f>'Step 2 - Service Definition|2'!H33</f>
        <v>The primary function is to monitor electrical parameters and initiate protective actions when those paramters indicate abnormal or fault conditions. List the purpose, location, and ratings that protection relays are installed in the BESS Site: [List (purpose{fault detection|system protection|selective coordination|event recording} - {at PCS to protect inverter and converters|within switchgear and panel boards that distribute power to the BESS and associated systems|alongside transformers and at PCC to the grid to protect faults transmitted through the transformer or from the grid|place where electrical circuits could be exposed to fault conditions such as feeder lines to critical loads}, Communicates: List({trip signals|alarm and status signals|event and data logging|control commands}, [DNP3|ModbusTCP|IEC61850|other], Communicates to: {Components}), {ResponseTime}, {[Yes|No]UserInterface present for [programming|monitoring|diagnostics]})].</v>
      </c>
      <c r="Q34" s="246" t="s">
        <v>275</v>
      </c>
      <c r="R34" s="247" t="s">
        <v>277</v>
      </c>
      <c r="S34" s="110" t="str">
        <f>'Step 2 - Service Definition|2'!I33</f>
        <v>The primary function is to monitor electrical parameters and initiate protective actions when those paramters indicate abnormal or fault conditions. List the purpose, location, and ratings that protection relays are installed in the BESS Site: [List (purpose{fault detection|system protection|selective coordination|event recording} - {at PCS to protect inverter and converters|within switchgear and panel boards that distribute power to the BESS and associated systems|alongside transformers and at PCC to the grid to protect faults transmitted through the transformer or from the grid|place where electrical circuits could be exposed to fault conditions such as feeder lines to critical loads}, Communicates: List({trip signals|alarm and status signals|event and data logging|control commands}, [DNP3|ModbusTCP|IEC61850|other], Communicates to: {Components}), {ResponseTime}, {[Yes|No]UserInterface present for [programming|monitoring|diagnostics]})].</v>
      </c>
      <c r="T34" s="246" t="s">
        <v>275</v>
      </c>
      <c r="U34" s="247" t="s">
        <v>277</v>
      </c>
      <c r="V34" s="110" t="str">
        <f>'Step 2 - Service Definition|2'!J33</f>
        <v>The primary function is to monitor electrical parameters and initiate protective actions when those paramters indicate abnormal or fault conditions. List the purpose, location, and ratings that protection relays are installed in the BESS Site: [List (purpose{fault detection|system protection|selective coordination|event recording} - {at PCS to protect inverter and converters|within switchgear and panel boards that distribute power to the BESS and associated systems|alongside transformers and at PCC to the grid to protect faults transmitted through the transformer or from the grid|place where electrical circuits could be exposed to fault conditions such as feeder lines to critical loads}, Communicates: List({trip signals|alarm and status signals|event and data logging|control commands}, [DNP3|ModbusTCP|IEC61850|other], Communicates to: {Components}), {ResponseTime}, {[Yes|No]UserInterface present for [programming|monitoring|diagnostics]})].</v>
      </c>
      <c r="W34" s="246" t="s">
        <v>275</v>
      </c>
      <c r="X34" s="247" t="s">
        <v>277</v>
      </c>
      <c r="Y34" s="110" t="str">
        <f>'Step 2 - Service Definition|2'!K33</f>
        <v>The primary function is to monitor electrical parameters and initiate protective actions when those paramters indicate abnormal or fault conditions. List the purpose, location, and ratings that protection relays are installed in the BESS Site: [List (purpose{fault detection|system protection|selective coordination|event recording} - {at PCS to protect inverter and converters|within switchgear and panel boards that distribute power to the BESS and associated systems|alongside transformers and at PCC to the grid to protect faults transmitted through the transformer or from the grid|place where electrical circuits could be exposed to fault conditions such as feeder lines to critical loads}, Communicates: List({trip signals|alarm and status signals|event and data logging|control commands}, [DNP3|ModbusTCP|IEC61850|other], Communicates to: {Components}), {ResponseTime}, {[Yes|No]UserInterface present for [programming|monitoring|diagnostics]})].</v>
      </c>
      <c r="Z34" s="246" t="s">
        <v>275</v>
      </c>
      <c r="AA34" s="247" t="s">
        <v>277</v>
      </c>
      <c r="AB34" s="57"/>
    </row>
    <row r="35" spans="1:28" ht="409.5">
      <c r="A35" s="418"/>
      <c r="B35" s="398" t="s">
        <v>365</v>
      </c>
      <c r="C35" s="64" t="str">
        <f>'Step 1 - System Definition'!O33</f>
        <v>Generation Meter</v>
      </c>
      <c r="D35" s="255" t="str">
        <f>'Step 2 - Service Definition|2'!D34</f>
        <v>The primary function is to measure the direct electrical input and output of the Generation Energy Source system,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v>
      </c>
      <c r="E35" s="256" t="s">
        <v>275</v>
      </c>
      <c r="F35" s="257" t="s">
        <v>276</v>
      </c>
      <c r="G35" s="255" t="str">
        <f>'Step 2 - Service Definition|2'!E34</f>
        <v>The primary function is to measure the direct electrical input and output of the Generation Energy Source system,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v>
      </c>
      <c r="H35" s="256" t="s">
        <v>275</v>
      </c>
      <c r="I35" s="257" t="s">
        <v>276</v>
      </c>
      <c r="J35" s="255" t="str">
        <f>'Step 2 - Service Definition|2'!F34</f>
        <v>The primary function is to measure the direct electrical input and output of the Generation Energy Source system,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v>
      </c>
      <c r="K35" s="256" t="s">
        <v>275</v>
      </c>
      <c r="L35" s="257" t="s">
        <v>276</v>
      </c>
      <c r="M35" s="255" t="str">
        <f>'Step 2 - Service Definition|2'!G34</f>
        <v>The primary function is to measure the direct electrical input and output of the Generation Energy Source system,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v>
      </c>
      <c r="N35" s="256" t="s">
        <v>275</v>
      </c>
      <c r="O35" s="257" t="s">
        <v>276</v>
      </c>
      <c r="P35" s="255" t="str">
        <f>'Step 2 - Service Definition|2'!H34</f>
        <v>The primary function is to measure the direct electrical input and output of the Generation Energy Source system,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v>
      </c>
      <c r="Q35" s="256" t="s">
        <v>275</v>
      </c>
      <c r="R35" s="257" t="s">
        <v>276</v>
      </c>
      <c r="S35" s="255" t="str">
        <f>'Step 2 - Service Definition|2'!I34</f>
        <v>The primary function is to measure the direct electrical input and output of the Generation Energy Source system,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v>
      </c>
      <c r="T35" s="256" t="s">
        <v>275</v>
      </c>
      <c r="U35" s="257" t="s">
        <v>276</v>
      </c>
      <c r="V35" s="255" t="str">
        <f>'Step 2 - Service Definition|2'!J34</f>
        <v>The primary function is to measure the direct electrical input and output of the Generation Energy Source system,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v>
      </c>
      <c r="W35" s="256" t="s">
        <v>275</v>
      </c>
      <c r="X35" s="257" t="s">
        <v>276</v>
      </c>
      <c r="Y35" s="255" t="str">
        <f>'Step 2 - Service Definition|2'!K34</f>
        <v>The primary function is to measure the direct electrical input and output of the Generation Energy Source system,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v>
      </c>
      <c r="Z35" s="256" t="s">
        <v>275</v>
      </c>
      <c r="AA35" s="257" t="s">
        <v>276</v>
      </c>
      <c r="AB35" s="99"/>
    </row>
    <row r="36" spans="1:28" ht="409.5">
      <c r="A36" s="418"/>
      <c r="B36" s="400"/>
      <c r="C36" s="65" t="str">
        <f>'Step 1 - System Definition'!O34</f>
        <v>Revenue-Grade Meter</v>
      </c>
      <c r="D36" s="259" t="str">
        <f>'Step 2 - Service Definition|2'!D35</f>
        <v>The primary function is to measure the direct electrical input and output of the Revenue Grade Metering for Energy Cost Decisions from the Generation Energy Source,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v>
      </c>
      <c r="E36" s="260" t="s">
        <v>275</v>
      </c>
      <c r="F36" s="261" t="s">
        <v>276</v>
      </c>
      <c r="G36" s="259" t="str">
        <f>'Step 2 - Service Definition|2'!E35</f>
        <v>The primary function is to measure the direct electrical input and output of the Revenue Grade Metering for Energy Cost Decisions from the Generation Energy Source,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v>
      </c>
      <c r="H36" s="260" t="s">
        <v>275</v>
      </c>
      <c r="I36" s="261" t="s">
        <v>276</v>
      </c>
      <c r="J36" s="259" t="str">
        <f>'Step 2 - Service Definition|2'!F35</f>
        <v>The primary function is to measure the direct electrical input and output of the Revenue Grade Metering for Energy Cost Decisions from the Generation Energy Source,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v>
      </c>
      <c r="K36" s="260" t="s">
        <v>275</v>
      </c>
      <c r="L36" s="261" t="s">
        <v>276</v>
      </c>
      <c r="M36" s="259" t="str">
        <f>'Step 2 - Service Definition|2'!G35</f>
        <v>The primary function is to measure the direct electrical input and output of the Revenue Grade Metering for Energy Cost Decisions from the Generation Energy Source,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v>
      </c>
      <c r="N36" s="260" t="s">
        <v>275</v>
      </c>
      <c r="O36" s="261" t="s">
        <v>276</v>
      </c>
      <c r="P36" s="259" t="str">
        <f>'Step 2 - Service Definition|2'!H35</f>
        <v>The primary function is to measure the direct electrical input and output of the Revenue Grade Metering for Energy Cost Decisions from the Generation Energy Source,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v>
      </c>
      <c r="Q36" s="260" t="s">
        <v>275</v>
      </c>
      <c r="R36" s="261" t="s">
        <v>276</v>
      </c>
      <c r="S36" s="259" t="str">
        <f>'Step 2 - Service Definition|2'!I35</f>
        <v>The primary function is to measure the direct electrical input and output of the Revenue Grade Metering for Energy Cost Decisions from the Generation Energy Source,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v>
      </c>
      <c r="T36" s="260" t="s">
        <v>275</v>
      </c>
      <c r="U36" s="261" t="s">
        <v>276</v>
      </c>
      <c r="V36" s="259" t="str">
        <f>'Step 2 - Service Definition|2'!J35</f>
        <v>The primary function is to measure the direct electrical input and output of the Revenue Grade Metering for Energy Cost Decisions from the Generation Energy Source,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v>
      </c>
      <c r="W36" s="260" t="s">
        <v>275</v>
      </c>
      <c r="X36" s="261" t="s">
        <v>276</v>
      </c>
      <c r="Y36" s="259" t="str">
        <f>'Step 2 - Service Definition|2'!K35</f>
        <v>The primary function is to measure the direct electrical input and output of the Revenue Grade Metering for Energy Cost Decisions from the Generation Energy Source, providing real-time data on the power and energy being charged or discharged, respectively. The following parameters are communicated to other components: [List (component - parameters, ...)]. Examples of parameters include: voltage, current, real power, reactive power, energy, power factor, frequency, harmonics, peak values, charge/discharge cycles. The meter provides about [Accuracy]% accuracy in its measurements. The measurement range for voltage is [VoltMin] to [VoltMax], and the range for current is [CurrMin] to [CurrMax]. The voltage resolution is [Vres], current resolution is [Ares], frequency resolution is [Fres]. This Battery Meter provides monitor in [both|in-bound|out-bound] power flows. Local data logging can be maintained for [X seconds|minutes|hours|days]. A local display [is|is not] available for on-site monitoring and configuration. The measurements are communicated via [List (TCP/IP, serial, wireless) - component] **These are often communicated over the network provided by the Site Network Switch(s)**</v>
      </c>
      <c r="Z36" s="260" t="s">
        <v>275</v>
      </c>
      <c r="AA36" s="261" t="s">
        <v>276</v>
      </c>
    </row>
    <row r="37" spans="1:28" ht="240">
      <c r="A37" s="418"/>
      <c r="B37" s="400"/>
      <c r="C37" s="65" t="str">
        <f>'Step 1 - System Definition'!O35</f>
        <v>Other Energy Source #1</v>
      </c>
      <c r="D37" s="259">
        <f>'Step 2 - Service Definition|2'!D36</f>
        <v>0</v>
      </c>
      <c r="E37" s="260" t="s">
        <v>275</v>
      </c>
      <c r="F37" s="261" t="s">
        <v>276</v>
      </c>
      <c r="G37" s="259">
        <f>'Step 2 - Service Definition|2'!E36</f>
        <v>0</v>
      </c>
      <c r="H37" s="260" t="s">
        <v>275</v>
      </c>
      <c r="I37" s="261" t="s">
        <v>276</v>
      </c>
      <c r="J37" s="259">
        <f>'Step 2 - Service Definition|2'!F36</f>
        <v>0</v>
      </c>
      <c r="K37" s="260" t="s">
        <v>275</v>
      </c>
      <c r="L37" s="261" t="s">
        <v>276</v>
      </c>
      <c r="M37" s="259">
        <f>'Step 2 - Service Definition|2'!G36</f>
        <v>0</v>
      </c>
      <c r="N37" s="260" t="s">
        <v>275</v>
      </c>
      <c r="O37" s="261" t="s">
        <v>276</v>
      </c>
      <c r="P37" s="259">
        <f>'Step 2 - Service Definition|2'!H36</f>
        <v>0</v>
      </c>
      <c r="Q37" s="260" t="s">
        <v>275</v>
      </c>
      <c r="R37" s="261" t="s">
        <v>276</v>
      </c>
      <c r="S37" s="259">
        <f>'Step 2 - Service Definition|2'!I36</f>
        <v>0</v>
      </c>
      <c r="T37" s="260" t="s">
        <v>275</v>
      </c>
      <c r="U37" s="261" t="s">
        <v>276</v>
      </c>
      <c r="V37" s="259">
        <f>'Step 2 - Service Definition|2'!J36</f>
        <v>0</v>
      </c>
      <c r="W37" s="260" t="s">
        <v>275</v>
      </c>
      <c r="X37" s="261" t="s">
        <v>276</v>
      </c>
      <c r="Y37" s="259">
        <f>'Step 2 - Service Definition|2'!K36</f>
        <v>0</v>
      </c>
      <c r="Z37" s="260" t="s">
        <v>275</v>
      </c>
      <c r="AA37" s="261" t="s">
        <v>276</v>
      </c>
    </row>
    <row r="38" spans="1:28" ht="240.75" thickBot="1">
      <c r="A38" s="418"/>
      <c r="B38" s="399"/>
      <c r="C38" s="66" t="str">
        <f>'Step 1 - System Definition'!O36</f>
        <v>Other Energy Source #2</v>
      </c>
      <c r="D38" s="262">
        <f>'Step 2 - Service Definition|2'!D37</f>
        <v>0</v>
      </c>
      <c r="E38" s="263" t="s">
        <v>275</v>
      </c>
      <c r="F38" s="264" t="s">
        <v>276</v>
      </c>
      <c r="G38" s="262">
        <f>'Step 2 - Service Definition|2'!E37</f>
        <v>0</v>
      </c>
      <c r="H38" s="263" t="s">
        <v>275</v>
      </c>
      <c r="I38" s="264" t="s">
        <v>276</v>
      </c>
      <c r="J38" s="262">
        <f>'Step 2 - Service Definition|2'!F37</f>
        <v>0</v>
      </c>
      <c r="K38" s="263" t="s">
        <v>275</v>
      </c>
      <c r="L38" s="264" t="s">
        <v>276</v>
      </c>
      <c r="M38" s="262">
        <f>'Step 2 - Service Definition|2'!G37</f>
        <v>0</v>
      </c>
      <c r="N38" s="263" t="s">
        <v>275</v>
      </c>
      <c r="O38" s="264" t="s">
        <v>276</v>
      </c>
      <c r="P38" s="262">
        <f>'Step 2 - Service Definition|2'!H37</f>
        <v>0</v>
      </c>
      <c r="Q38" s="263" t="s">
        <v>275</v>
      </c>
      <c r="R38" s="264" t="s">
        <v>276</v>
      </c>
      <c r="S38" s="262">
        <f>'Step 2 - Service Definition|2'!I37</f>
        <v>0</v>
      </c>
      <c r="T38" s="263" t="s">
        <v>275</v>
      </c>
      <c r="U38" s="264" t="s">
        <v>276</v>
      </c>
      <c r="V38" s="262">
        <f>'Step 2 - Service Definition|2'!J37</f>
        <v>0</v>
      </c>
      <c r="W38" s="263" t="s">
        <v>275</v>
      </c>
      <c r="X38" s="264" t="s">
        <v>276</v>
      </c>
      <c r="Y38" s="262">
        <f>'Step 2 - Service Definition|2'!K37</f>
        <v>0</v>
      </c>
      <c r="Z38" s="263" t="s">
        <v>275</v>
      </c>
      <c r="AA38" s="264" t="s">
        <v>276</v>
      </c>
    </row>
    <row r="39" spans="1:28">
      <c r="D39" s="17"/>
      <c r="E39" s="17"/>
      <c r="F39" s="17"/>
      <c r="G39" s="17"/>
      <c r="H39" s="17"/>
      <c r="I39" s="17"/>
      <c r="J39" s="17"/>
      <c r="K39" s="17"/>
      <c r="L39" s="17"/>
      <c r="M39" s="17"/>
      <c r="N39" s="17"/>
      <c r="O39" s="17"/>
      <c r="P39" s="17"/>
      <c r="Q39" s="17"/>
      <c r="R39" s="17"/>
      <c r="S39" s="17"/>
      <c r="T39" s="17"/>
      <c r="U39" s="17"/>
      <c r="V39" s="17"/>
      <c r="W39" s="17"/>
      <c r="X39" s="17"/>
      <c r="Y39" s="17"/>
      <c r="Z39" s="17"/>
      <c r="AA39" s="17"/>
    </row>
    <row r="40" spans="1:28">
      <c r="D40" s="17"/>
      <c r="E40" s="17"/>
      <c r="F40" s="17"/>
      <c r="G40" s="17"/>
      <c r="H40" s="17"/>
      <c r="I40" s="17"/>
      <c r="J40" s="17"/>
      <c r="K40" s="17"/>
      <c r="L40" s="17"/>
      <c r="M40" s="17"/>
      <c r="N40" s="17"/>
      <c r="O40" s="17"/>
      <c r="P40" s="17"/>
      <c r="Q40" s="17"/>
      <c r="R40" s="17"/>
      <c r="S40" s="17"/>
      <c r="T40" s="17"/>
      <c r="U40" s="17"/>
      <c r="V40" s="17"/>
      <c r="W40" s="17"/>
      <c r="X40" s="17"/>
      <c r="Y40" s="17"/>
      <c r="Z40" s="17"/>
      <c r="AA40" s="17"/>
    </row>
    <row r="41" spans="1:28">
      <c r="D41" s="17"/>
      <c r="E41" s="17"/>
      <c r="F41" s="17"/>
      <c r="G41" s="17"/>
      <c r="H41" s="17"/>
      <c r="I41" s="17"/>
      <c r="J41" s="17"/>
      <c r="K41" s="17"/>
      <c r="L41" s="17"/>
      <c r="M41" s="17"/>
      <c r="N41" s="17"/>
      <c r="O41" s="17"/>
      <c r="P41" s="17"/>
      <c r="Q41" s="17"/>
      <c r="R41" s="17"/>
      <c r="S41" s="17"/>
      <c r="T41" s="17"/>
      <c r="U41" s="17"/>
      <c r="V41" s="17"/>
      <c r="W41" s="17"/>
      <c r="X41" s="17"/>
      <c r="Y41" s="17"/>
      <c r="Z41" s="17"/>
      <c r="AA41" s="17"/>
    </row>
    <row r="42" spans="1:28">
      <c r="D42" s="17"/>
      <c r="E42" s="17"/>
      <c r="F42" s="17"/>
      <c r="G42" s="17"/>
      <c r="H42" s="17"/>
      <c r="I42" s="17"/>
      <c r="J42" s="17"/>
      <c r="K42" s="17"/>
      <c r="L42" s="17"/>
      <c r="M42" s="17"/>
      <c r="N42" s="17"/>
      <c r="O42" s="17"/>
      <c r="P42" s="17"/>
      <c r="Q42" s="17"/>
      <c r="R42" s="17"/>
      <c r="S42" s="17"/>
      <c r="T42" s="17"/>
      <c r="U42" s="17"/>
      <c r="V42" s="17"/>
      <c r="W42" s="17"/>
      <c r="X42" s="17"/>
      <c r="Y42" s="17"/>
      <c r="Z42" s="17"/>
      <c r="AA42" s="17"/>
    </row>
    <row r="43" spans="1:28">
      <c r="D43" s="17"/>
      <c r="E43" s="17"/>
      <c r="F43" s="17"/>
      <c r="G43" s="17"/>
      <c r="H43" s="17"/>
      <c r="I43" s="17"/>
      <c r="J43" s="17"/>
      <c r="K43" s="17"/>
      <c r="L43" s="17"/>
      <c r="M43" s="17"/>
      <c r="N43" s="17"/>
      <c r="O43" s="17"/>
      <c r="P43" s="17"/>
      <c r="Q43" s="17"/>
      <c r="R43" s="17"/>
      <c r="S43" s="17"/>
      <c r="T43" s="17"/>
      <c r="U43" s="17"/>
      <c r="V43" s="17"/>
      <c r="W43" s="17"/>
      <c r="X43" s="17"/>
      <c r="Y43" s="17"/>
      <c r="Z43" s="17"/>
      <c r="AA43" s="17"/>
    </row>
    <row r="44" spans="1:28">
      <c r="D44" s="17"/>
      <c r="E44" s="17"/>
      <c r="F44" s="17"/>
      <c r="G44" s="17"/>
      <c r="H44" s="17"/>
      <c r="I44" s="17"/>
      <c r="J44" s="17"/>
      <c r="K44" s="17"/>
      <c r="L44" s="17"/>
      <c r="M44" s="17"/>
      <c r="N44" s="17"/>
      <c r="O44" s="17"/>
      <c r="P44" s="17"/>
      <c r="Q44" s="17"/>
      <c r="R44" s="17"/>
      <c r="S44" s="17"/>
      <c r="T44" s="17"/>
      <c r="U44" s="17"/>
      <c r="V44" s="17"/>
      <c r="W44" s="17"/>
      <c r="X44" s="17"/>
      <c r="Y44" s="17"/>
      <c r="Z44" s="17"/>
      <c r="AA44" s="17"/>
    </row>
    <row r="45" spans="1:28">
      <c r="D45" s="17"/>
      <c r="E45" s="17"/>
      <c r="F45" s="17"/>
      <c r="G45" s="17"/>
      <c r="H45" s="17"/>
      <c r="I45" s="17"/>
      <c r="J45" s="17"/>
      <c r="K45" s="17"/>
      <c r="L45" s="17"/>
      <c r="M45" s="17"/>
      <c r="N45" s="17"/>
      <c r="O45" s="17"/>
      <c r="P45" s="17"/>
      <c r="Q45" s="17"/>
      <c r="R45" s="17"/>
      <c r="S45" s="17"/>
      <c r="T45" s="17"/>
      <c r="U45" s="17"/>
      <c r="V45" s="17"/>
      <c r="W45" s="17"/>
      <c r="X45" s="17"/>
      <c r="Y45" s="17"/>
      <c r="Z45" s="17"/>
      <c r="AA45" s="17"/>
    </row>
    <row r="46" spans="1:28">
      <c r="D46" s="17"/>
      <c r="E46" s="17"/>
      <c r="F46" s="17"/>
      <c r="G46" s="17"/>
      <c r="H46" s="17"/>
      <c r="I46" s="17"/>
      <c r="J46" s="17"/>
      <c r="K46" s="17"/>
      <c r="L46" s="17"/>
      <c r="M46" s="17"/>
      <c r="N46" s="17"/>
      <c r="O46" s="17"/>
      <c r="P46" s="17"/>
      <c r="Q46" s="17"/>
      <c r="R46" s="17"/>
      <c r="S46" s="17"/>
      <c r="T46" s="17"/>
      <c r="U46" s="17"/>
      <c r="V46" s="17"/>
      <c r="W46" s="17"/>
      <c r="X46" s="17"/>
      <c r="Y46" s="17"/>
      <c r="Z46" s="17"/>
      <c r="AA46" s="17"/>
    </row>
    <row r="47" spans="1:28">
      <c r="D47" s="17"/>
      <c r="E47" s="17"/>
      <c r="F47" s="17"/>
      <c r="G47" s="17"/>
      <c r="H47" s="17"/>
      <c r="I47" s="17"/>
      <c r="J47" s="17"/>
      <c r="K47" s="17"/>
      <c r="L47" s="17"/>
      <c r="M47" s="17"/>
      <c r="N47" s="17"/>
      <c r="O47" s="17"/>
      <c r="P47" s="17"/>
      <c r="Q47" s="17"/>
      <c r="R47" s="17"/>
      <c r="S47" s="17"/>
      <c r="T47" s="17"/>
      <c r="U47" s="17"/>
      <c r="V47" s="17"/>
      <c r="W47" s="17"/>
      <c r="X47" s="17"/>
      <c r="Y47" s="17"/>
      <c r="Z47" s="17"/>
      <c r="AA47" s="17"/>
    </row>
    <row r="48" spans="1:28">
      <c r="D48" s="17"/>
      <c r="E48" s="17"/>
      <c r="F48" s="17"/>
      <c r="G48" s="17"/>
      <c r="H48" s="17"/>
      <c r="I48" s="17"/>
      <c r="J48" s="17"/>
      <c r="K48" s="17"/>
      <c r="L48" s="17"/>
      <c r="M48" s="17"/>
      <c r="N48" s="17"/>
      <c r="O48" s="17"/>
      <c r="P48" s="17"/>
      <c r="Q48" s="17"/>
      <c r="R48" s="17"/>
      <c r="S48" s="17"/>
      <c r="T48" s="17"/>
      <c r="U48" s="17"/>
      <c r="V48" s="17"/>
      <c r="W48" s="17"/>
      <c r="X48" s="17"/>
      <c r="Y48" s="17"/>
      <c r="Z48" s="17"/>
      <c r="AA48" s="17"/>
    </row>
    <row r="49" s="17" customFormat="1"/>
    <row r="50" s="17" customFormat="1"/>
    <row r="51" s="17" customFormat="1"/>
    <row r="52" s="17" customFormat="1"/>
    <row r="53" s="17" customFormat="1"/>
    <row r="54" s="17" customFormat="1"/>
    <row r="55" s="17" customFormat="1"/>
    <row r="56" s="17" customFormat="1"/>
    <row r="57" s="17" customFormat="1"/>
    <row r="58" s="17" customFormat="1"/>
    <row r="59" s="17" customFormat="1"/>
    <row r="60" s="17" customFormat="1"/>
    <row r="61" s="17" customFormat="1"/>
    <row r="62" s="17" customFormat="1"/>
    <row r="63" s="17" customFormat="1"/>
    <row r="64" s="17" customFormat="1"/>
    <row r="65" s="17" customFormat="1"/>
    <row r="66" s="17" customFormat="1"/>
    <row r="67" s="17" customFormat="1"/>
    <row r="68" s="17" customFormat="1"/>
    <row r="69" s="17" customFormat="1"/>
    <row r="70" s="17" customFormat="1"/>
    <row r="71" s="17" customFormat="1"/>
    <row r="72" s="17" customFormat="1"/>
    <row r="73" s="17" customFormat="1"/>
    <row r="74" s="17" customFormat="1"/>
    <row r="75" s="17" customFormat="1"/>
    <row r="76" s="17" customFormat="1"/>
    <row r="77" s="17" customFormat="1"/>
    <row r="78" s="17" customFormat="1"/>
    <row r="79" s="17" customFormat="1"/>
    <row r="80" s="17" customFormat="1"/>
    <row r="81" s="17" customFormat="1"/>
    <row r="82" s="17" customFormat="1"/>
    <row r="83" s="17" customFormat="1"/>
    <row r="84" s="17" customFormat="1"/>
    <row r="85" s="17" customFormat="1"/>
    <row r="86" s="17" customFormat="1"/>
    <row r="87" s="17" customFormat="1"/>
    <row r="88" s="17" customFormat="1"/>
    <row r="89" s="17" customFormat="1"/>
    <row r="90" s="17" customFormat="1"/>
    <row r="91" s="17" customFormat="1"/>
    <row r="92" s="17" customFormat="1"/>
    <row r="93" s="17" customFormat="1"/>
    <row r="94" s="17" customFormat="1"/>
    <row r="95" s="17" customFormat="1"/>
    <row r="96" s="17" customFormat="1"/>
    <row r="97" s="17" customFormat="1"/>
    <row r="98" s="17" customFormat="1"/>
    <row r="99" s="17" customFormat="1"/>
    <row r="100" s="17" customFormat="1"/>
    <row r="101" s="17" customFormat="1"/>
    <row r="102" s="17" customFormat="1"/>
    <row r="103" s="17" customFormat="1"/>
    <row r="104" s="17" customFormat="1"/>
    <row r="105" s="17" customFormat="1"/>
    <row r="106" s="17" customFormat="1"/>
    <row r="107" s="17" customFormat="1"/>
    <row r="108" s="17" customFormat="1"/>
    <row r="109" s="17" customFormat="1"/>
    <row r="110" s="17" customFormat="1"/>
    <row r="111" s="17" customFormat="1"/>
    <row r="112" s="17" customFormat="1"/>
    <row r="113" s="17" customFormat="1"/>
    <row r="114" s="17" customFormat="1"/>
    <row r="115" s="17" customFormat="1"/>
    <row r="116" s="17" customFormat="1"/>
    <row r="117" s="17" customFormat="1"/>
    <row r="118" s="17" customFormat="1"/>
    <row r="119" s="17" customFormat="1"/>
    <row r="120" s="17" customFormat="1"/>
    <row r="121" s="17" customFormat="1"/>
    <row r="122" s="17" customFormat="1"/>
    <row r="123" s="17" customFormat="1"/>
    <row r="124" s="17" customFormat="1"/>
    <row r="125" s="17" customFormat="1"/>
    <row r="126" s="17" customFormat="1"/>
    <row r="127" s="17" customFormat="1"/>
    <row r="128" s="17" customFormat="1"/>
    <row r="129" s="17" customFormat="1"/>
    <row r="130" s="17" customFormat="1"/>
    <row r="131" s="17" customFormat="1"/>
    <row r="132" s="17" customFormat="1"/>
    <row r="133" s="17" customFormat="1"/>
    <row r="134" s="17" customFormat="1"/>
    <row r="135" s="17" customFormat="1"/>
    <row r="136" s="17" customFormat="1"/>
    <row r="137" s="17" customFormat="1"/>
    <row r="138" s="17" customFormat="1"/>
    <row r="139" s="17" customFormat="1"/>
    <row r="140" s="17" customFormat="1"/>
    <row r="141" s="17" customFormat="1"/>
    <row r="142" s="17" customFormat="1"/>
    <row r="143" s="17" customFormat="1"/>
    <row r="144" s="17" customFormat="1"/>
    <row r="145" s="17" customFormat="1"/>
    <row r="146" s="17" customFormat="1"/>
    <row r="147" s="17" customFormat="1"/>
    <row r="148" s="17" customFormat="1"/>
    <row r="149" s="17" customFormat="1"/>
    <row r="150" s="17" customFormat="1"/>
    <row r="151" s="17" customFormat="1"/>
    <row r="152" s="17" customFormat="1"/>
    <row r="153" s="17" customFormat="1"/>
    <row r="154" s="17" customFormat="1"/>
    <row r="155" s="17" customFormat="1"/>
    <row r="156" s="17" customFormat="1"/>
    <row r="157" s="17" customFormat="1"/>
    <row r="158" s="17" customFormat="1"/>
    <row r="159" s="17" customFormat="1"/>
    <row r="160" s="17" customFormat="1"/>
    <row r="161" s="17" customFormat="1"/>
    <row r="162" s="17" customFormat="1"/>
    <row r="163" s="17" customFormat="1"/>
    <row r="164" s="17" customFormat="1"/>
    <row r="165" s="17" customFormat="1"/>
    <row r="166" s="17" customFormat="1"/>
    <row r="167" s="17" customFormat="1"/>
    <row r="168" s="17" customFormat="1"/>
    <row r="169" s="17" customFormat="1"/>
    <row r="170" s="17" customFormat="1"/>
    <row r="171" s="17" customFormat="1"/>
    <row r="172" s="17" customFormat="1"/>
    <row r="173" s="17" customFormat="1"/>
    <row r="174" s="17" customFormat="1"/>
    <row r="175" s="17" customFormat="1"/>
    <row r="176" s="17" customFormat="1"/>
    <row r="177" s="17" customFormat="1"/>
    <row r="178" s="17" customFormat="1"/>
    <row r="179" s="17" customFormat="1"/>
    <row r="180" s="17" customFormat="1"/>
    <row r="181" s="17" customFormat="1"/>
    <row r="182" s="17" customFormat="1"/>
    <row r="183" s="17" customFormat="1"/>
    <row r="184" s="17" customFormat="1"/>
    <row r="185" s="17" customFormat="1"/>
    <row r="186" s="17" customFormat="1"/>
    <row r="187" s="17" customFormat="1"/>
    <row r="188" s="17" customFormat="1"/>
    <row r="189" s="17" customFormat="1"/>
    <row r="190" s="17" customFormat="1"/>
    <row r="191" s="17" customFormat="1"/>
    <row r="192" s="17" customFormat="1"/>
    <row r="193" s="17" customFormat="1"/>
    <row r="194" s="17" customFormat="1"/>
    <row r="195" s="17" customFormat="1"/>
    <row r="196" s="17" customFormat="1"/>
    <row r="197" s="17" customFormat="1"/>
    <row r="198" s="17" customFormat="1"/>
    <row r="199" s="17" customFormat="1"/>
    <row r="200" s="17" customFormat="1"/>
    <row r="201" s="17" customFormat="1"/>
    <row r="202" s="17" customFormat="1"/>
    <row r="203" s="17" customFormat="1"/>
    <row r="204" s="17" customFormat="1"/>
    <row r="205" s="17" customFormat="1"/>
    <row r="206" s="17" customFormat="1"/>
    <row r="207" s="17" customFormat="1"/>
    <row r="208" s="17" customFormat="1"/>
    <row r="209" s="17" customFormat="1"/>
    <row r="210" s="17" customFormat="1"/>
    <row r="211" s="17" customFormat="1"/>
    <row r="212" s="17" customFormat="1"/>
    <row r="213" s="17" customFormat="1"/>
    <row r="214" s="17" customFormat="1"/>
    <row r="215" s="17" customFormat="1"/>
    <row r="216" s="17" customFormat="1"/>
    <row r="217" s="17" customFormat="1"/>
    <row r="218" s="17" customFormat="1"/>
    <row r="219" s="17" customFormat="1"/>
    <row r="220" s="17" customFormat="1"/>
    <row r="221" s="17" customFormat="1"/>
    <row r="222" s="17" customFormat="1"/>
    <row r="223" s="17" customFormat="1"/>
    <row r="224" s="17" customFormat="1"/>
    <row r="225" s="17" customFormat="1"/>
    <row r="226" s="17" customFormat="1"/>
    <row r="227" s="17" customFormat="1"/>
    <row r="228" s="17" customFormat="1"/>
    <row r="229" s="17" customFormat="1"/>
    <row r="230" s="17" customFormat="1"/>
    <row r="231" s="17" customFormat="1"/>
    <row r="232" s="17" customFormat="1"/>
    <row r="233" s="17" customFormat="1"/>
    <row r="234" s="17" customFormat="1"/>
    <row r="235" s="17" customFormat="1"/>
    <row r="236" s="17" customFormat="1"/>
    <row r="237" s="17" customFormat="1"/>
    <row r="238" s="17" customFormat="1"/>
    <row r="239" s="17" customFormat="1"/>
    <row r="240" s="17" customFormat="1"/>
    <row r="241" s="17" customFormat="1"/>
    <row r="242" s="17" customFormat="1"/>
    <row r="243" s="17" customFormat="1"/>
    <row r="244" s="17" customFormat="1"/>
    <row r="245" s="17" customFormat="1"/>
    <row r="246" s="17" customFormat="1"/>
    <row r="247" s="17" customFormat="1"/>
    <row r="248" s="17" customFormat="1"/>
    <row r="249" s="17" customFormat="1"/>
    <row r="250" s="17" customFormat="1"/>
    <row r="251" s="17" customFormat="1"/>
    <row r="252" s="17" customFormat="1"/>
    <row r="253" s="17" customFormat="1"/>
    <row r="254" s="17" customFormat="1"/>
    <row r="255" s="17" customFormat="1"/>
    <row r="256" s="17" customFormat="1"/>
    <row r="257" s="17" customFormat="1"/>
    <row r="258" s="17" customFormat="1"/>
    <row r="259" s="17" customFormat="1"/>
    <row r="260" s="17" customFormat="1"/>
    <row r="261" s="17" customFormat="1"/>
    <row r="262" s="17" customFormat="1"/>
    <row r="263" s="17" customFormat="1"/>
    <row r="264" s="17" customFormat="1"/>
    <row r="265" s="17" customFormat="1"/>
    <row r="266" s="17" customFormat="1"/>
    <row r="267" s="17" customFormat="1"/>
    <row r="268" s="17" customFormat="1"/>
    <row r="269" s="17" customFormat="1"/>
    <row r="270" s="17" customFormat="1"/>
    <row r="271" s="17" customFormat="1"/>
    <row r="272" s="17" customFormat="1"/>
    <row r="273" s="17" customFormat="1"/>
    <row r="274" s="17" customFormat="1"/>
    <row r="275" s="17" customFormat="1"/>
    <row r="276" s="17" customFormat="1"/>
    <row r="277" s="17" customFormat="1"/>
    <row r="278" s="17" customFormat="1"/>
    <row r="279" s="17" customFormat="1"/>
    <row r="280" s="17" customFormat="1"/>
    <row r="281" s="17" customFormat="1"/>
    <row r="282" s="17" customFormat="1"/>
    <row r="283" s="17" customFormat="1"/>
    <row r="284" s="17" customFormat="1"/>
    <row r="285" s="17" customFormat="1"/>
    <row r="286" s="17" customFormat="1"/>
    <row r="287" s="17" customFormat="1"/>
    <row r="288" s="17" customFormat="1"/>
    <row r="289" s="17" customFormat="1"/>
    <row r="290" s="17" customFormat="1"/>
    <row r="291" s="17" customFormat="1"/>
    <row r="292" s="17" customFormat="1"/>
    <row r="293" s="17" customFormat="1"/>
    <row r="294" s="17" customFormat="1"/>
    <row r="295" s="17" customFormat="1"/>
    <row r="296" s="17" customFormat="1"/>
    <row r="297" s="17" customFormat="1"/>
    <row r="298" s="17" customFormat="1"/>
    <row r="299" s="17" customFormat="1"/>
    <row r="300" s="17" customFormat="1"/>
    <row r="301" s="17" customFormat="1"/>
    <row r="302" s="17" customFormat="1"/>
    <row r="303" s="17" customFormat="1"/>
    <row r="304" s="17" customFormat="1"/>
    <row r="305" s="17" customFormat="1"/>
    <row r="306" s="17" customFormat="1"/>
    <row r="307" s="17" customFormat="1"/>
    <row r="308" s="17" customFormat="1"/>
    <row r="309" s="17" customFormat="1"/>
    <row r="310" s="17" customFormat="1"/>
    <row r="311" s="17" customFormat="1"/>
    <row r="312" s="17" customFormat="1"/>
    <row r="313" s="17" customFormat="1"/>
    <row r="314" s="17" customFormat="1"/>
    <row r="315" s="17" customFormat="1"/>
    <row r="316" s="17" customFormat="1"/>
    <row r="317" s="17" customFormat="1"/>
    <row r="318" s="17" customFormat="1"/>
    <row r="319" s="17" customFormat="1"/>
    <row r="320" s="17" customFormat="1"/>
    <row r="321" s="17" customFormat="1"/>
    <row r="322" s="17" customFormat="1"/>
    <row r="323" s="17" customFormat="1"/>
    <row r="324" s="17" customFormat="1"/>
    <row r="325" s="17" customFormat="1"/>
    <row r="326" s="17" customFormat="1"/>
    <row r="327" s="17" customFormat="1"/>
    <row r="328" s="17" customFormat="1"/>
    <row r="329" s="17" customFormat="1"/>
    <row r="330" s="17" customFormat="1"/>
    <row r="331" s="17" customFormat="1"/>
    <row r="332" s="17" customFormat="1"/>
    <row r="333" s="17" customFormat="1"/>
    <row r="334" s="17" customFormat="1"/>
    <row r="335" s="17" customFormat="1"/>
    <row r="336" s="17" customFormat="1"/>
    <row r="337" s="17" customFormat="1"/>
    <row r="338" s="17" customFormat="1"/>
    <row r="339" s="17" customFormat="1"/>
    <row r="340" s="17" customFormat="1"/>
    <row r="341" s="17" customFormat="1"/>
    <row r="342" s="17" customFormat="1"/>
    <row r="343" s="17" customFormat="1"/>
    <row r="344" s="17" customFormat="1"/>
    <row r="345" s="17" customFormat="1"/>
    <row r="346" s="17" customFormat="1"/>
    <row r="347" s="17" customFormat="1"/>
    <row r="348" s="17" customFormat="1"/>
    <row r="349" s="17" customFormat="1"/>
    <row r="350" s="17" customFormat="1"/>
    <row r="351" s="17" customFormat="1"/>
    <row r="352" s="17" customFormat="1"/>
    <row r="353" s="17" customFormat="1"/>
    <row r="354" s="17" customFormat="1"/>
    <row r="355" s="17" customFormat="1"/>
    <row r="356" s="17" customFormat="1"/>
    <row r="357" s="17" customFormat="1"/>
    <row r="358" s="17" customFormat="1"/>
    <row r="359" s="17" customFormat="1"/>
    <row r="360" s="17" customFormat="1"/>
    <row r="361" s="17" customFormat="1"/>
    <row r="362" s="17" customFormat="1"/>
    <row r="363" s="17" customFormat="1"/>
    <row r="364" s="17" customFormat="1"/>
    <row r="365" s="17" customFormat="1"/>
    <row r="366" s="17" customFormat="1"/>
    <row r="367" s="17" customFormat="1"/>
    <row r="368" s="17" customFormat="1"/>
    <row r="369" s="17" customFormat="1"/>
    <row r="370" s="17" customFormat="1"/>
    <row r="371" s="17" customFormat="1"/>
    <row r="372" s="17" customFormat="1"/>
    <row r="373" s="17" customFormat="1"/>
    <row r="374" s="17" customFormat="1"/>
    <row r="375" s="17" customFormat="1"/>
    <row r="376" s="17" customFormat="1"/>
    <row r="377" s="17" customFormat="1"/>
    <row r="378" s="17" customFormat="1"/>
    <row r="379" s="17" customFormat="1"/>
    <row r="380" s="17" customFormat="1"/>
    <row r="381" s="17" customFormat="1"/>
    <row r="382" s="17" customFormat="1"/>
    <row r="383" s="17" customFormat="1"/>
    <row r="384" s="17" customFormat="1"/>
    <row r="385" s="17" customFormat="1"/>
    <row r="386" s="17" customFormat="1"/>
    <row r="387" s="17" customFormat="1"/>
    <row r="388" s="17" customFormat="1"/>
    <row r="389" s="17" customFormat="1"/>
    <row r="390" s="17" customFormat="1"/>
    <row r="391" s="17" customFormat="1"/>
    <row r="392" s="17" customFormat="1"/>
    <row r="393" s="17" customFormat="1"/>
    <row r="394" s="17" customFormat="1"/>
    <row r="395" s="17" customFormat="1"/>
    <row r="396" s="17" customFormat="1"/>
    <row r="397" s="17" customFormat="1"/>
    <row r="398" s="17" customFormat="1"/>
    <row r="399" s="17" customFormat="1"/>
    <row r="400" s="17" customFormat="1"/>
    <row r="401" s="17" customFormat="1"/>
    <row r="402" s="17" customFormat="1"/>
    <row r="403" s="17" customFormat="1"/>
    <row r="404" s="17" customFormat="1"/>
    <row r="405" s="17" customFormat="1"/>
    <row r="406" s="17" customFormat="1"/>
    <row r="407" s="17" customFormat="1"/>
    <row r="408" s="17" customFormat="1"/>
    <row r="409" s="17" customFormat="1"/>
    <row r="410" s="17" customFormat="1"/>
    <row r="411" s="17" customFormat="1"/>
    <row r="412" s="17" customFormat="1"/>
    <row r="413" s="17" customFormat="1"/>
    <row r="414" s="17" customFormat="1"/>
    <row r="415" s="17" customFormat="1"/>
    <row r="416" s="17" customFormat="1"/>
    <row r="417" s="17" customFormat="1"/>
    <row r="418" s="17" customFormat="1"/>
    <row r="419" s="17" customFormat="1"/>
    <row r="420" s="17" customFormat="1"/>
    <row r="421" s="17" customFormat="1"/>
    <row r="422" s="17" customFormat="1"/>
    <row r="423" s="17" customFormat="1"/>
    <row r="424" s="17" customFormat="1"/>
    <row r="425" s="17" customFormat="1"/>
    <row r="426" s="17" customFormat="1"/>
    <row r="427" s="17" customFormat="1"/>
    <row r="428" s="17" customFormat="1"/>
    <row r="429" s="17" customFormat="1"/>
    <row r="430" s="17" customFormat="1"/>
    <row r="431" s="17" customFormat="1"/>
    <row r="432" s="17" customFormat="1"/>
    <row r="433" s="17" customFormat="1"/>
    <row r="434" s="17" customFormat="1"/>
    <row r="435" s="17" customFormat="1"/>
    <row r="436" s="17" customFormat="1"/>
    <row r="437" s="17" customFormat="1"/>
    <row r="438" s="17" customFormat="1"/>
    <row r="439" s="17" customFormat="1"/>
    <row r="440" s="17" customFormat="1"/>
    <row r="441" s="17" customFormat="1"/>
    <row r="442" s="17" customFormat="1"/>
    <row r="443" s="17" customFormat="1"/>
    <row r="444" s="17" customFormat="1"/>
    <row r="445" s="17" customFormat="1"/>
    <row r="446" s="17" customFormat="1"/>
    <row r="447" s="17" customFormat="1"/>
    <row r="448" s="17" customFormat="1"/>
    <row r="449" s="17" customFormat="1"/>
    <row r="450" s="17" customFormat="1"/>
    <row r="451" s="17" customFormat="1"/>
    <row r="452" s="17" customFormat="1"/>
    <row r="453" s="17" customFormat="1"/>
    <row r="454" s="17" customFormat="1"/>
    <row r="455" s="17" customFormat="1"/>
    <row r="456" s="17" customFormat="1"/>
    <row r="457" s="17" customFormat="1"/>
    <row r="458" s="17" customFormat="1"/>
    <row r="459" s="17" customFormat="1"/>
    <row r="460" s="17" customFormat="1"/>
    <row r="461" s="17" customFormat="1"/>
    <row r="462" s="17" customFormat="1"/>
    <row r="463" s="17" customFormat="1"/>
    <row r="464" s="17" customFormat="1"/>
    <row r="465" s="17" customFormat="1"/>
    <row r="466" s="17" customFormat="1"/>
    <row r="467" s="17" customFormat="1"/>
    <row r="468" s="17" customFormat="1"/>
    <row r="469" s="17" customFormat="1"/>
    <row r="470" s="17" customFormat="1"/>
    <row r="471" s="17" customFormat="1"/>
    <row r="472" s="17" customFormat="1"/>
    <row r="473" s="17" customFormat="1"/>
    <row r="474" s="17" customFormat="1"/>
    <row r="475" s="17" customFormat="1"/>
    <row r="476" s="17" customFormat="1"/>
    <row r="477" s="17" customFormat="1"/>
    <row r="478" s="17" customFormat="1"/>
    <row r="479" s="17" customFormat="1"/>
    <row r="480" s="17" customFormat="1"/>
    <row r="481" s="17" customFormat="1"/>
    <row r="482" s="17" customFormat="1"/>
    <row r="483" s="17" customFormat="1"/>
    <row r="484" s="17" customFormat="1"/>
    <row r="485" s="17" customFormat="1"/>
    <row r="486" s="17" customFormat="1"/>
    <row r="487" s="17" customFormat="1"/>
    <row r="488" s="17" customFormat="1"/>
    <row r="489" s="17" customFormat="1"/>
    <row r="490" s="17" customFormat="1"/>
    <row r="491" s="17" customFormat="1"/>
    <row r="492" s="17" customFormat="1"/>
    <row r="493" s="17" customFormat="1"/>
    <row r="494" s="17" customFormat="1"/>
    <row r="495" s="17" customFormat="1"/>
    <row r="496" s="17" customFormat="1"/>
    <row r="497" s="17" customFormat="1"/>
    <row r="498" s="17" customFormat="1"/>
    <row r="499" s="17" customFormat="1"/>
    <row r="500" s="17" customFormat="1"/>
    <row r="501" s="17" customFormat="1"/>
    <row r="502" s="17" customFormat="1"/>
    <row r="503" s="17" customFormat="1"/>
    <row r="504" s="17" customFormat="1"/>
    <row r="505" s="17" customFormat="1"/>
    <row r="506" s="17" customFormat="1"/>
    <row r="507" s="17" customFormat="1"/>
    <row r="508" s="17" customFormat="1"/>
    <row r="509" s="17" customFormat="1"/>
    <row r="510" s="17" customFormat="1"/>
    <row r="511" s="17" customFormat="1"/>
    <row r="512" s="17" customFormat="1"/>
    <row r="513" s="17" customFormat="1"/>
    <row r="514" s="17" customFormat="1"/>
    <row r="515" s="17" customFormat="1"/>
    <row r="516" s="17" customFormat="1"/>
    <row r="517" s="17" customFormat="1"/>
    <row r="518" s="17" customFormat="1"/>
    <row r="519" s="17" customFormat="1"/>
    <row r="520" s="17" customFormat="1"/>
    <row r="521" s="17" customFormat="1"/>
    <row r="522" s="17" customFormat="1"/>
    <row r="523" s="17" customFormat="1"/>
    <row r="524" s="17" customFormat="1"/>
    <row r="525" s="17" customFormat="1"/>
    <row r="526" s="17" customFormat="1"/>
    <row r="527" s="17" customFormat="1"/>
    <row r="528" s="17" customFormat="1"/>
    <row r="529" s="17" customFormat="1"/>
    <row r="530" s="17" customFormat="1"/>
    <row r="531" s="17" customFormat="1"/>
    <row r="532" s="17" customFormat="1"/>
    <row r="533" s="17" customFormat="1"/>
    <row r="534" s="17" customFormat="1"/>
    <row r="535" s="17" customFormat="1"/>
    <row r="536" s="17" customFormat="1"/>
    <row r="537" s="17" customFormat="1"/>
    <row r="538" s="17" customFormat="1"/>
    <row r="539" s="17" customFormat="1"/>
    <row r="540" s="17" customFormat="1"/>
    <row r="541" s="17" customFormat="1"/>
    <row r="542" s="17" customFormat="1"/>
    <row r="543" s="17" customFormat="1"/>
    <row r="544" s="17" customFormat="1"/>
    <row r="545" s="17" customFormat="1"/>
    <row r="546" s="17" customFormat="1"/>
    <row r="547" s="17" customFormat="1"/>
    <row r="548" s="17" customFormat="1"/>
    <row r="549" s="17" customFormat="1"/>
    <row r="550" s="17" customFormat="1"/>
    <row r="551" s="17" customFormat="1"/>
    <row r="552" s="17" customFormat="1"/>
    <row r="553" s="17" customFormat="1"/>
    <row r="554" s="17" customFormat="1"/>
    <row r="555" s="17" customFormat="1"/>
    <row r="556" s="17" customFormat="1"/>
    <row r="557" s="17" customFormat="1"/>
    <row r="558" s="17" customFormat="1"/>
    <row r="559" s="17" customFormat="1"/>
    <row r="560" s="17" customFormat="1"/>
    <row r="561" s="17" customFormat="1"/>
    <row r="562" s="17" customFormat="1"/>
    <row r="563" s="17" customFormat="1"/>
    <row r="564" s="17" customFormat="1"/>
    <row r="565" s="17" customFormat="1"/>
    <row r="566" s="17" customFormat="1"/>
    <row r="567" s="17" customFormat="1"/>
    <row r="568" s="17" customFormat="1"/>
    <row r="569" s="17" customFormat="1"/>
    <row r="570" s="17" customFormat="1"/>
    <row r="571" s="17" customFormat="1"/>
    <row r="572" s="17" customFormat="1"/>
    <row r="573" s="17" customFormat="1"/>
    <row r="574" s="17" customFormat="1"/>
    <row r="575" s="17" customFormat="1"/>
    <row r="576" s="17" customFormat="1"/>
    <row r="577" s="17" customFormat="1"/>
    <row r="578" s="17" customFormat="1"/>
    <row r="579" s="17" customFormat="1"/>
    <row r="580" s="17" customFormat="1"/>
    <row r="581" s="17" customFormat="1"/>
    <row r="582" s="17" customFormat="1"/>
    <row r="583" s="17" customFormat="1"/>
    <row r="584" s="17" customFormat="1"/>
    <row r="585" s="17" customFormat="1"/>
    <row r="586" s="17" customFormat="1"/>
    <row r="587" s="17" customFormat="1"/>
    <row r="588" s="17" customFormat="1"/>
    <row r="589" s="17" customFormat="1"/>
    <row r="590" s="17" customFormat="1"/>
    <row r="591" s="17" customFormat="1"/>
    <row r="592" s="17" customFormat="1"/>
    <row r="593" s="17" customFormat="1"/>
    <row r="594" s="17" customFormat="1"/>
    <row r="595" s="17" customFormat="1"/>
    <row r="596" s="17" customFormat="1"/>
    <row r="597" s="17" customFormat="1"/>
    <row r="598" s="17" customFormat="1"/>
    <row r="599" s="17" customFormat="1"/>
    <row r="600" s="17" customFormat="1"/>
    <row r="601" s="17" customFormat="1"/>
    <row r="602" s="17" customFormat="1"/>
    <row r="603" s="17" customFormat="1"/>
    <row r="604" s="17" customFormat="1"/>
    <row r="605" s="17" customFormat="1"/>
    <row r="606" s="17" customFormat="1"/>
    <row r="607" s="17" customFormat="1"/>
    <row r="608" s="17" customFormat="1"/>
    <row r="609" s="17" customFormat="1"/>
    <row r="610" s="17" customFormat="1"/>
    <row r="611" s="17" customFormat="1"/>
    <row r="612" s="17" customFormat="1"/>
    <row r="613" s="17" customFormat="1"/>
    <row r="614" s="17" customFormat="1"/>
    <row r="615" s="17" customFormat="1"/>
    <row r="616" s="17" customFormat="1"/>
    <row r="617" s="17" customFormat="1"/>
    <row r="618" s="17" customFormat="1"/>
    <row r="619" s="17" customFormat="1"/>
    <row r="620" s="17" customFormat="1"/>
    <row r="621" s="17" customFormat="1"/>
    <row r="622" s="17" customFormat="1"/>
    <row r="623" s="17" customFormat="1"/>
    <row r="624" s="17" customFormat="1"/>
    <row r="625" s="17" customFormat="1"/>
    <row r="626" s="17" customFormat="1"/>
    <row r="627" s="17" customFormat="1"/>
    <row r="628" s="17" customFormat="1"/>
    <row r="629" s="17" customFormat="1"/>
    <row r="630" s="17" customFormat="1"/>
    <row r="631" s="17" customFormat="1"/>
    <row r="632" s="17" customFormat="1"/>
    <row r="633" s="17" customFormat="1"/>
    <row r="634" s="17" customFormat="1"/>
    <row r="635" s="17" customFormat="1"/>
    <row r="636" s="17" customFormat="1"/>
    <row r="637" s="17" customFormat="1"/>
    <row r="638" s="17" customFormat="1"/>
    <row r="639" s="17" customFormat="1"/>
    <row r="640" s="17" customFormat="1"/>
    <row r="641" s="17" customFormat="1"/>
    <row r="642" s="17" customFormat="1"/>
    <row r="643" s="17" customFormat="1"/>
    <row r="644" s="17" customFormat="1"/>
    <row r="645" s="17" customFormat="1"/>
    <row r="646" s="17" customFormat="1"/>
    <row r="647" s="17" customFormat="1"/>
    <row r="648" s="17" customFormat="1"/>
    <row r="649" s="17" customFormat="1"/>
    <row r="650" s="17" customFormat="1"/>
    <row r="651" s="17" customFormat="1"/>
    <row r="652" s="17" customFormat="1"/>
    <row r="653" s="17" customFormat="1"/>
    <row r="654" s="17" customFormat="1"/>
    <row r="655" s="17" customFormat="1"/>
    <row r="656" s="17" customFormat="1"/>
    <row r="657" s="17" customFormat="1"/>
    <row r="658" s="17" customFormat="1"/>
    <row r="659" s="17" customFormat="1"/>
    <row r="660" s="17" customFormat="1"/>
    <row r="661" s="17" customFormat="1"/>
    <row r="662" s="17" customFormat="1"/>
    <row r="663" s="17" customFormat="1"/>
    <row r="664" s="17" customFormat="1"/>
    <row r="665" s="17" customFormat="1"/>
    <row r="666" s="17" customFormat="1"/>
    <row r="667" s="17" customFormat="1"/>
    <row r="668" s="17" customFormat="1"/>
    <row r="669" s="17" customFormat="1"/>
    <row r="670" s="17" customFormat="1"/>
    <row r="671" s="17" customFormat="1"/>
    <row r="672" s="17" customFormat="1"/>
    <row r="673" s="17" customFormat="1"/>
    <row r="674" s="17" customFormat="1"/>
    <row r="675" s="17" customFormat="1"/>
    <row r="676" s="17" customFormat="1"/>
    <row r="677" s="17" customFormat="1"/>
    <row r="678" s="17" customFormat="1"/>
    <row r="679" s="17" customFormat="1"/>
    <row r="680" s="17" customFormat="1"/>
    <row r="681" s="17" customFormat="1"/>
    <row r="682" s="17" customFormat="1"/>
    <row r="683" s="17" customFormat="1"/>
    <row r="684" s="17" customFormat="1"/>
    <row r="685" s="17" customFormat="1"/>
    <row r="686" s="17" customFormat="1"/>
    <row r="687" s="17" customFormat="1"/>
    <row r="688" s="17" customFormat="1"/>
    <row r="689" s="17" customFormat="1"/>
    <row r="690" s="17" customFormat="1"/>
    <row r="691" s="17" customFormat="1"/>
    <row r="692" s="17" customFormat="1"/>
    <row r="693" s="17" customFormat="1"/>
    <row r="694" s="17" customFormat="1"/>
    <row r="695" s="17" customFormat="1"/>
    <row r="696" s="17" customFormat="1"/>
    <row r="697" s="17" customFormat="1"/>
    <row r="698" s="17" customFormat="1"/>
    <row r="699" s="17" customFormat="1"/>
    <row r="700" s="17" customFormat="1"/>
    <row r="701" s="17" customFormat="1"/>
    <row r="702" s="17" customFormat="1"/>
    <row r="703" s="17" customFormat="1"/>
    <row r="704" s="17" customFormat="1"/>
    <row r="705" s="17" customFormat="1"/>
    <row r="706" s="17" customFormat="1"/>
    <row r="707" s="17" customFormat="1"/>
    <row r="708" s="17" customFormat="1"/>
    <row r="709" s="17" customFormat="1"/>
    <row r="710" s="17" customFormat="1"/>
    <row r="711" s="17" customFormat="1"/>
    <row r="712" s="17" customFormat="1"/>
    <row r="713" s="17" customFormat="1"/>
    <row r="714" s="17" customFormat="1"/>
    <row r="715" s="17" customFormat="1"/>
    <row r="716" s="17" customFormat="1"/>
    <row r="717" s="17" customFormat="1"/>
    <row r="718" s="17" customFormat="1"/>
    <row r="719" s="17" customFormat="1"/>
    <row r="720" s="17" customFormat="1"/>
    <row r="721" s="17" customFormat="1"/>
    <row r="722" s="17" customFormat="1"/>
    <row r="723" s="17" customFormat="1"/>
    <row r="724" s="17" customFormat="1"/>
    <row r="725" s="17" customFormat="1"/>
    <row r="726" s="17" customFormat="1"/>
    <row r="727" s="17" customFormat="1"/>
    <row r="728" s="17" customFormat="1"/>
    <row r="729" s="17" customFormat="1"/>
    <row r="730" s="17" customFormat="1"/>
    <row r="731" s="17" customFormat="1"/>
    <row r="732" s="17" customFormat="1"/>
    <row r="733" s="17" customFormat="1"/>
    <row r="734" s="17" customFormat="1"/>
    <row r="735" s="17" customFormat="1"/>
    <row r="736" s="17" customFormat="1"/>
    <row r="737" s="17" customFormat="1"/>
    <row r="738" s="17" customFormat="1"/>
    <row r="739" s="17" customFormat="1"/>
    <row r="740" s="17" customFormat="1"/>
    <row r="741" s="17" customFormat="1"/>
    <row r="742" s="17" customFormat="1"/>
    <row r="743" s="17" customFormat="1"/>
    <row r="744" s="17" customFormat="1"/>
    <row r="745" s="17" customFormat="1"/>
    <row r="746" s="17" customFormat="1"/>
    <row r="747" s="17" customFormat="1"/>
    <row r="748" s="17" customFormat="1"/>
    <row r="749" s="17" customFormat="1"/>
    <row r="750" s="17" customFormat="1"/>
    <row r="751" s="17" customFormat="1"/>
    <row r="752" s="17" customFormat="1"/>
    <row r="753" s="17" customFormat="1"/>
    <row r="754" s="17" customFormat="1"/>
    <row r="755" s="17" customFormat="1"/>
    <row r="756" s="17" customFormat="1"/>
    <row r="757" s="17" customFormat="1"/>
    <row r="758" s="17" customFormat="1"/>
    <row r="759" s="17" customFormat="1"/>
    <row r="760" s="17" customFormat="1"/>
    <row r="761" s="17" customFormat="1"/>
    <row r="762" s="17" customFormat="1"/>
    <row r="763" s="17" customFormat="1"/>
    <row r="764" s="17" customFormat="1"/>
    <row r="765" s="17" customFormat="1"/>
    <row r="766" s="17" customFormat="1"/>
    <row r="767" s="17" customFormat="1"/>
    <row r="768" s="17" customFormat="1"/>
    <row r="769" s="17" customFormat="1"/>
    <row r="770" s="17" customFormat="1"/>
    <row r="771" s="17" customFormat="1"/>
    <row r="772" s="17" customFormat="1"/>
    <row r="773" s="17" customFormat="1"/>
    <row r="774" s="17" customFormat="1"/>
    <row r="775" s="17" customFormat="1"/>
    <row r="776" s="17" customFormat="1"/>
    <row r="777" s="17" customFormat="1"/>
    <row r="778" s="17" customFormat="1"/>
    <row r="779" s="17" customFormat="1"/>
    <row r="780" s="17" customFormat="1"/>
    <row r="781" s="17" customFormat="1"/>
    <row r="782" s="17" customFormat="1"/>
    <row r="783" s="17" customFormat="1"/>
    <row r="784" s="17" customFormat="1"/>
    <row r="785" s="17" customFormat="1"/>
    <row r="786" s="17" customFormat="1"/>
    <row r="787" s="17" customFormat="1"/>
    <row r="788" s="17" customFormat="1"/>
    <row r="789" s="17" customFormat="1"/>
    <row r="790" s="17" customFormat="1"/>
    <row r="791" s="17" customFormat="1"/>
    <row r="792" s="17" customFormat="1"/>
    <row r="793" s="17" customFormat="1"/>
    <row r="794" s="17" customFormat="1"/>
    <row r="795" s="17" customFormat="1"/>
    <row r="796" s="17" customFormat="1"/>
    <row r="797" s="17" customFormat="1"/>
    <row r="798" s="17" customFormat="1"/>
    <row r="799" s="17" customFormat="1"/>
    <row r="800" s="17" customFormat="1"/>
    <row r="801" s="17" customFormat="1"/>
    <row r="802" s="17" customFormat="1"/>
    <row r="803" s="17" customFormat="1"/>
    <row r="804" s="17" customFormat="1"/>
    <row r="805" s="17" customFormat="1"/>
    <row r="806" s="17" customFormat="1"/>
    <row r="807" s="17" customFormat="1"/>
    <row r="808" s="17" customFormat="1"/>
    <row r="809" s="17" customFormat="1"/>
    <row r="810" s="17" customFormat="1"/>
    <row r="811" s="17" customFormat="1"/>
    <row r="812" s="17" customFormat="1"/>
    <row r="813" s="17" customFormat="1"/>
    <row r="814" s="17" customFormat="1"/>
    <row r="815" s="17" customFormat="1"/>
    <row r="816" s="17" customFormat="1"/>
    <row r="817" s="17" customFormat="1"/>
    <row r="818" s="17" customFormat="1"/>
    <row r="819" s="17" customFormat="1"/>
    <row r="820" s="17" customFormat="1"/>
    <row r="821" s="17" customFormat="1"/>
    <row r="822" s="17" customFormat="1"/>
    <row r="823" s="17" customFormat="1"/>
    <row r="824" s="17" customFormat="1"/>
    <row r="825" s="17" customFormat="1"/>
    <row r="826" s="17" customFormat="1"/>
    <row r="827" s="17" customFormat="1"/>
    <row r="828" s="17" customFormat="1"/>
    <row r="829" s="17" customFormat="1"/>
    <row r="830" s="17" customFormat="1"/>
    <row r="831" s="17" customFormat="1"/>
    <row r="832" s="17" customFormat="1"/>
    <row r="833" s="17" customFormat="1"/>
    <row r="834" s="17" customFormat="1"/>
    <row r="835" s="17" customFormat="1"/>
    <row r="836" s="17" customFormat="1"/>
    <row r="837" s="17" customFormat="1"/>
    <row r="838" s="17" customFormat="1"/>
    <row r="839" s="17" customFormat="1"/>
    <row r="840" s="17" customFormat="1"/>
    <row r="841" s="17" customFormat="1"/>
    <row r="842" s="17" customFormat="1"/>
    <row r="843" s="17" customFormat="1"/>
    <row r="844" s="17" customFormat="1"/>
    <row r="845" s="17" customFormat="1"/>
    <row r="846" s="17" customFormat="1"/>
    <row r="847" s="17" customFormat="1"/>
    <row r="848" s="17" customFormat="1"/>
    <row r="849" s="17" customFormat="1"/>
    <row r="850" s="17" customFormat="1"/>
    <row r="851" s="17" customFormat="1"/>
    <row r="852" s="17" customFormat="1"/>
    <row r="853" s="17" customFormat="1"/>
    <row r="854" s="17" customFormat="1"/>
    <row r="855" s="17" customFormat="1"/>
    <row r="856" s="17" customFormat="1"/>
    <row r="857" s="17" customFormat="1"/>
    <row r="858" s="17" customFormat="1"/>
    <row r="859" s="17" customFormat="1"/>
    <row r="860" s="17" customFormat="1"/>
    <row r="861" s="17" customFormat="1"/>
    <row r="862" s="17" customFormat="1"/>
    <row r="863" s="17" customFormat="1"/>
    <row r="864" s="17" customFormat="1"/>
    <row r="865" s="17" customFormat="1"/>
    <row r="866" s="17" customFormat="1"/>
    <row r="867" s="17" customFormat="1"/>
    <row r="868" s="17" customFormat="1"/>
    <row r="869" s="17" customFormat="1"/>
    <row r="870" s="17" customFormat="1"/>
    <row r="871" s="17" customFormat="1"/>
    <row r="872" s="17" customFormat="1"/>
    <row r="873" s="17" customFormat="1"/>
    <row r="874" s="17" customFormat="1"/>
    <row r="875" s="17" customFormat="1"/>
    <row r="876" s="17" customFormat="1"/>
    <row r="877" s="17" customFormat="1"/>
    <row r="878" s="17" customFormat="1"/>
    <row r="879" s="17" customFormat="1"/>
    <row r="880" s="17" customFormat="1"/>
  </sheetData>
  <mergeCells count="21">
    <mergeCell ref="D1:AA1"/>
    <mergeCell ref="AB1:AB2"/>
    <mergeCell ref="B2:C2"/>
    <mergeCell ref="B4:B6"/>
    <mergeCell ref="B7:B9"/>
    <mergeCell ref="Y2:AA2"/>
    <mergeCell ref="V2:X2"/>
    <mergeCell ref="S2:U2"/>
    <mergeCell ref="P2:R2"/>
    <mergeCell ref="M2:O2"/>
    <mergeCell ref="A4:A38"/>
    <mergeCell ref="J2:L2"/>
    <mergeCell ref="G2:I2"/>
    <mergeCell ref="D2:F2"/>
    <mergeCell ref="AC4:AI6"/>
    <mergeCell ref="B35:B38"/>
    <mergeCell ref="B10:B13"/>
    <mergeCell ref="B15:B16"/>
    <mergeCell ref="B17:B20"/>
    <mergeCell ref="B21:B25"/>
    <mergeCell ref="B26:B34"/>
  </mergeCells>
  <conditionalFormatting sqref="D4:AA34 D35:D38 J35:J38 M35:M38 P35:P38 S35:S38 V35:V38 Y35:Y38">
    <cfRule type="containsText" dxfId="87" priority="69" operator="containsText" text="TRUE">
      <formula>NOT(ISERROR(SEARCH("TRUE",D4)))</formula>
    </cfRule>
    <cfRule type="containsText" dxfId="86" priority="70" operator="containsText" text="FALSE">
      <formula>NOT(ISERROR(SEARCH("FALSE",D4)))</formula>
    </cfRule>
  </conditionalFormatting>
  <conditionalFormatting sqref="E35:F35">
    <cfRule type="containsText" dxfId="85" priority="65" operator="containsText" text="TRUE">
      <formula>NOT(ISERROR(SEARCH("TRUE",E35)))</formula>
    </cfRule>
    <cfRule type="containsText" dxfId="84" priority="66" operator="containsText" text="FALSE">
      <formula>NOT(ISERROR(SEARCH("FALSE",E35)))</formula>
    </cfRule>
  </conditionalFormatting>
  <conditionalFormatting sqref="E36:F36">
    <cfRule type="containsText" dxfId="83" priority="63" operator="containsText" text="TRUE">
      <formula>NOT(ISERROR(SEARCH("TRUE",E36)))</formula>
    </cfRule>
    <cfRule type="containsText" dxfId="82" priority="64" operator="containsText" text="FALSE">
      <formula>NOT(ISERROR(SEARCH("FALSE",E36)))</formula>
    </cfRule>
  </conditionalFormatting>
  <conditionalFormatting sqref="E37:F37">
    <cfRule type="containsText" dxfId="81" priority="61" operator="containsText" text="TRUE">
      <formula>NOT(ISERROR(SEARCH("TRUE",E37)))</formula>
    </cfRule>
    <cfRule type="containsText" dxfId="80" priority="62" operator="containsText" text="FALSE">
      <formula>NOT(ISERROR(SEARCH("FALSE",E37)))</formula>
    </cfRule>
  </conditionalFormatting>
  <conditionalFormatting sqref="E38:F38">
    <cfRule type="containsText" dxfId="79" priority="59" operator="containsText" text="TRUE">
      <formula>NOT(ISERROR(SEARCH("TRUE",E38)))</formula>
    </cfRule>
    <cfRule type="containsText" dxfId="78" priority="60" operator="containsText" text="FALSE">
      <formula>NOT(ISERROR(SEARCH("FALSE",E38)))</formula>
    </cfRule>
  </conditionalFormatting>
  <conditionalFormatting sqref="H35:I35">
    <cfRule type="containsText" dxfId="77" priority="57" operator="containsText" text="TRUE">
      <formula>NOT(ISERROR(SEARCH("TRUE",H35)))</formula>
    </cfRule>
    <cfRule type="containsText" dxfId="76" priority="58" operator="containsText" text="FALSE">
      <formula>NOT(ISERROR(SEARCH("FALSE",H35)))</formula>
    </cfRule>
  </conditionalFormatting>
  <conditionalFormatting sqref="H36:I36">
    <cfRule type="containsText" dxfId="75" priority="55" operator="containsText" text="TRUE">
      <formula>NOT(ISERROR(SEARCH("TRUE",H36)))</formula>
    </cfRule>
    <cfRule type="containsText" dxfId="74" priority="56" operator="containsText" text="FALSE">
      <formula>NOT(ISERROR(SEARCH("FALSE",H36)))</formula>
    </cfRule>
  </conditionalFormatting>
  <conditionalFormatting sqref="H37:I37">
    <cfRule type="containsText" dxfId="73" priority="53" operator="containsText" text="TRUE">
      <formula>NOT(ISERROR(SEARCH("TRUE",H37)))</formula>
    </cfRule>
    <cfRule type="containsText" dxfId="72" priority="54" operator="containsText" text="FALSE">
      <formula>NOT(ISERROR(SEARCH("FALSE",H37)))</formula>
    </cfRule>
  </conditionalFormatting>
  <conditionalFormatting sqref="H38:I38">
    <cfRule type="containsText" dxfId="71" priority="51" operator="containsText" text="TRUE">
      <formula>NOT(ISERROR(SEARCH("TRUE",H38)))</formula>
    </cfRule>
    <cfRule type="containsText" dxfId="70" priority="52" operator="containsText" text="FALSE">
      <formula>NOT(ISERROR(SEARCH("FALSE",H38)))</formula>
    </cfRule>
  </conditionalFormatting>
  <conditionalFormatting sqref="K35:L35">
    <cfRule type="containsText" dxfId="69" priority="49" operator="containsText" text="TRUE">
      <formula>NOT(ISERROR(SEARCH("TRUE",K35)))</formula>
    </cfRule>
    <cfRule type="containsText" dxfId="68" priority="50" operator="containsText" text="FALSE">
      <formula>NOT(ISERROR(SEARCH("FALSE",K35)))</formula>
    </cfRule>
  </conditionalFormatting>
  <conditionalFormatting sqref="K36:L36">
    <cfRule type="containsText" dxfId="67" priority="47" operator="containsText" text="TRUE">
      <formula>NOT(ISERROR(SEARCH("TRUE",K36)))</formula>
    </cfRule>
    <cfRule type="containsText" dxfId="66" priority="48" operator="containsText" text="FALSE">
      <formula>NOT(ISERROR(SEARCH("FALSE",K36)))</formula>
    </cfRule>
  </conditionalFormatting>
  <conditionalFormatting sqref="K37:L37">
    <cfRule type="containsText" dxfId="65" priority="45" operator="containsText" text="TRUE">
      <formula>NOT(ISERROR(SEARCH("TRUE",K37)))</formula>
    </cfRule>
    <cfRule type="containsText" dxfId="64" priority="46" operator="containsText" text="FALSE">
      <formula>NOT(ISERROR(SEARCH("FALSE",K37)))</formula>
    </cfRule>
  </conditionalFormatting>
  <conditionalFormatting sqref="K38:L38">
    <cfRule type="containsText" dxfId="63" priority="43" operator="containsText" text="TRUE">
      <formula>NOT(ISERROR(SEARCH("TRUE",K38)))</formula>
    </cfRule>
    <cfRule type="containsText" dxfId="62" priority="44" operator="containsText" text="FALSE">
      <formula>NOT(ISERROR(SEARCH("FALSE",K38)))</formula>
    </cfRule>
  </conditionalFormatting>
  <conditionalFormatting sqref="N35:O35">
    <cfRule type="containsText" dxfId="61" priority="41" operator="containsText" text="TRUE">
      <formula>NOT(ISERROR(SEARCH("TRUE",N35)))</formula>
    </cfRule>
    <cfRule type="containsText" dxfId="60" priority="42" operator="containsText" text="FALSE">
      <formula>NOT(ISERROR(SEARCH("FALSE",N35)))</formula>
    </cfRule>
  </conditionalFormatting>
  <conditionalFormatting sqref="N36:O36">
    <cfRule type="containsText" dxfId="59" priority="39" operator="containsText" text="TRUE">
      <formula>NOT(ISERROR(SEARCH("TRUE",N36)))</formula>
    </cfRule>
    <cfRule type="containsText" dxfId="58" priority="40" operator="containsText" text="FALSE">
      <formula>NOT(ISERROR(SEARCH("FALSE",N36)))</formula>
    </cfRule>
  </conditionalFormatting>
  <conditionalFormatting sqref="N37:O37">
    <cfRule type="containsText" dxfId="57" priority="37" operator="containsText" text="TRUE">
      <formula>NOT(ISERROR(SEARCH("TRUE",N37)))</formula>
    </cfRule>
    <cfRule type="containsText" dxfId="56" priority="38" operator="containsText" text="FALSE">
      <formula>NOT(ISERROR(SEARCH("FALSE",N37)))</formula>
    </cfRule>
  </conditionalFormatting>
  <conditionalFormatting sqref="N38:O38">
    <cfRule type="containsText" dxfId="55" priority="35" operator="containsText" text="TRUE">
      <formula>NOT(ISERROR(SEARCH("TRUE",N38)))</formula>
    </cfRule>
    <cfRule type="containsText" dxfId="54" priority="36" operator="containsText" text="FALSE">
      <formula>NOT(ISERROR(SEARCH("FALSE",N38)))</formula>
    </cfRule>
  </conditionalFormatting>
  <conditionalFormatting sqref="Q35:R35">
    <cfRule type="containsText" dxfId="53" priority="33" operator="containsText" text="TRUE">
      <formula>NOT(ISERROR(SEARCH("TRUE",Q35)))</formula>
    </cfRule>
    <cfRule type="containsText" dxfId="52" priority="34" operator="containsText" text="FALSE">
      <formula>NOT(ISERROR(SEARCH("FALSE",Q35)))</formula>
    </cfRule>
  </conditionalFormatting>
  <conditionalFormatting sqref="Q36:R36">
    <cfRule type="containsText" dxfId="51" priority="31" operator="containsText" text="TRUE">
      <formula>NOT(ISERROR(SEARCH("TRUE",Q36)))</formula>
    </cfRule>
    <cfRule type="containsText" dxfId="50" priority="32" operator="containsText" text="FALSE">
      <formula>NOT(ISERROR(SEARCH("FALSE",Q36)))</formula>
    </cfRule>
  </conditionalFormatting>
  <conditionalFormatting sqref="Q37:R37">
    <cfRule type="containsText" dxfId="49" priority="29" operator="containsText" text="TRUE">
      <formula>NOT(ISERROR(SEARCH("TRUE",Q37)))</formula>
    </cfRule>
    <cfRule type="containsText" dxfId="48" priority="30" operator="containsText" text="FALSE">
      <formula>NOT(ISERROR(SEARCH("FALSE",Q37)))</formula>
    </cfRule>
  </conditionalFormatting>
  <conditionalFormatting sqref="Q38:R38">
    <cfRule type="containsText" dxfId="47" priority="27" operator="containsText" text="TRUE">
      <formula>NOT(ISERROR(SEARCH("TRUE",Q38)))</formula>
    </cfRule>
    <cfRule type="containsText" dxfId="46" priority="28" operator="containsText" text="FALSE">
      <formula>NOT(ISERROR(SEARCH("FALSE",Q38)))</formula>
    </cfRule>
  </conditionalFormatting>
  <conditionalFormatting sqref="T35:U35">
    <cfRule type="containsText" dxfId="45" priority="25" operator="containsText" text="TRUE">
      <formula>NOT(ISERROR(SEARCH("TRUE",T35)))</formula>
    </cfRule>
    <cfRule type="containsText" dxfId="44" priority="26" operator="containsText" text="FALSE">
      <formula>NOT(ISERROR(SEARCH("FALSE",T35)))</formula>
    </cfRule>
  </conditionalFormatting>
  <conditionalFormatting sqref="T36:U36">
    <cfRule type="containsText" dxfId="43" priority="23" operator="containsText" text="TRUE">
      <formula>NOT(ISERROR(SEARCH("TRUE",T36)))</formula>
    </cfRule>
    <cfRule type="containsText" dxfId="42" priority="24" operator="containsText" text="FALSE">
      <formula>NOT(ISERROR(SEARCH("FALSE",T36)))</formula>
    </cfRule>
  </conditionalFormatting>
  <conditionalFormatting sqref="T37:U37">
    <cfRule type="containsText" dxfId="41" priority="21" operator="containsText" text="TRUE">
      <formula>NOT(ISERROR(SEARCH("TRUE",T37)))</formula>
    </cfRule>
    <cfRule type="containsText" dxfId="40" priority="22" operator="containsText" text="FALSE">
      <formula>NOT(ISERROR(SEARCH("FALSE",T37)))</formula>
    </cfRule>
  </conditionalFormatting>
  <conditionalFormatting sqref="T38:U38">
    <cfRule type="containsText" dxfId="39" priority="19" operator="containsText" text="TRUE">
      <formula>NOT(ISERROR(SEARCH("TRUE",T38)))</formula>
    </cfRule>
    <cfRule type="containsText" dxfId="38" priority="20" operator="containsText" text="FALSE">
      <formula>NOT(ISERROR(SEARCH("FALSE",T38)))</formula>
    </cfRule>
  </conditionalFormatting>
  <conditionalFormatting sqref="W35:X35">
    <cfRule type="containsText" dxfId="37" priority="17" operator="containsText" text="TRUE">
      <formula>NOT(ISERROR(SEARCH("TRUE",W35)))</formula>
    </cfRule>
    <cfRule type="containsText" dxfId="36" priority="18" operator="containsText" text="FALSE">
      <formula>NOT(ISERROR(SEARCH("FALSE",W35)))</formula>
    </cfRule>
  </conditionalFormatting>
  <conditionalFormatting sqref="W36:X36">
    <cfRule type="containsText" dxfId="35" priority="15" operator="containsText" text="TRUE">
      <formula>NOT(ISERROR(SEARCH("TRUE",W36)))</formula>
    </cfRule>
    <cfRule type="containsText" dxfId="34" priority="16" operator="containsText" text="FALSE">
      <formula>NOT(ISERROR(SEARCH("FALSE",W36)))</formula>
    </cfRule>
  </conditionalFormatting>
  <conditionalFormatting sqref="W37:X37">
    <cfRule type="containsText" dxfId="33" priority="13" operator="containsText" text="TRUE">
      <formula>NOT(ISERROR(SEARCH("TRUE",W37)))</formula>
    </cfRule>
    <cfRule type="containsText" dxfId="32" priority="14" operator="containsText" text="FALSE">
      <formula>NOT(ISERROR(SEARCH("FALSE",W37)))</formula>
    </cfRule>
  </conditionalFormatting>
  <conditionalFormatting sqref="W38:X38">
    <cfRule type="containsText" dxfId="31" priority="11" operator="containsText" text="TRUE">
      <formula>NOT(ISERROR(SEARCH("TRUE",W38)))</formula>
    </cfRule>
    <cfRule type="containsText" dxfId="30" priority="12" operator="containsText" text="FALSE">
      <formula>NOT(ISERROR(SEARCH("FALSE",W38)))</formula>
    </cfRule>
  </conditionalFormatting>
  <conditionalFormatting sqref="Z35:AA35">
    <cfRule type="containsText" dxfId="29" priority="9" operator="containsText" text="TRUE">
      <formula>NOT(ISERROR(SEARCH("TRUE",Z35)))</formula>
    </cfRule>
    <cfRule type="containsText" dxfId="28" priority="10" operator="containsText" text="FALSE">
      <formula>NOT(ISERROR(SEARCH("FALSE",Z35)))</formula>
    </cfRule>
  </conditionalFormatting>
  <conditionalFormatting sqref="Z36:AA36">
    <cfRule type="containsText" dxfId="27" priority="7" operator="containsText" text="TRUE">
      <formula>NOT(ISERROR(SEARCH("TRUE",Z36)))</formula>
    </cfRule>
    <cfRule type="containsText" dxfId="26" priority="8" operator="containsText" text="FALSE">
      <formula>NOT(ISERROR(SEARCH("FALSE",Z36)))</formula>
    </cfRule>
  </conditionalFormatting>
  <conditionalFormatting sqref="Z37:AA37">
    <cfRule type="containsText" dxfId="25" priority="5" operator="containsText" text="TRUE">
      <formula>NOT(ISERROR(SEARCH("TRUE",Z37)))</formula>
    </cfRule>
    <cfRule type="containsText" dxfId="24" priority="6" operator="containsText" text="FALSE">
      <formula>NOT(ISERROR(SEARCH("FALSE",Z37)))</formula>
    </cfRule>
  </conditionalFormatting>
  <conditionalFormatting sqref="Z38:AA38">
    <cfRule type="containsText" dxfId="23" priority="3" operator="containsText" text="TRUE">
      <formula>NOT(ISERROR(SEARCH("TRUE",Z38)))</formula>
    </cfRule>
    <cfRule type="containsText" dxfId="22" priority="4" operator="containsText" text="FALSE">
      <formula>NOT(ISERROR(SEARCH("FALSE",Z38)))</formula>
    </cfRule>
  </conditionalFormatting>
  <conditionalFormatting sqref="G35:G38">
    <cfRule type="containsText" dxfId="21" priority="1" operator="containsText" text="TRUE">
      <formula>NOT(ISERROR(SEARCH("TRUE",G35)))</formula>
    </cfRule>
    <cfRule type="containsText" dxfId="20" priority="2" operator="containsText" text="FALSE">
      <formula>NOT(ISERROR(SEARCH("FALSE",G35)))</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4DD5FF-2F30-4D98-9030-B512B0CAC720}">
  <sheetPr codeName="Sheet11"/>
  <dimension ref="A1:AI38"/>
  <sheetViews>
    <sheetView workbookViewId="0">
      <selection activeCell="D4" sqref="D4"/>
    </sheetView>
  </sheetViews>
  <sheetFormatPr defaultRowHeight="15"/>
  <cols>
    <col min="1" max="1" width="3.7109375" customWidth="1"/>
    <col min="3" max="3" width="21.140625" bestFit="1" customWidth="1"/>
    <col min="4" max="5" width="35.7109375" customWidth="1"/>
    <col min="6" max="6" width="77.85546875" customWidth="1"/>
    <col min="7" max="8" width="35.7109375" customWidth="1"/>
    <col min="9" max="9" width="77.85546875" customWidth="1"/>
    <col min="10" max="11" width="35.7109375" customWidth="1"/>
    <col min="12" max="12" width="77.85546875" customWidth="1"/>
    <col min="13" max="14" width="35.7109375" customWidth="1"/>
    <col min="15" max="15" width="77.85546875" customWidth="1"/>
    <col min="16" max="17" width="35.7109375" customWidth="1"/>
    <col min="18" max="18" width="77.85546875" customWidth="1"/>
    <col min="19" max="20" width="35.7109375" customWidth="1"/>
    <col min="21" max="21" width="77.85546875" customWidth="1"/>
    <col min="22" max="23" width="35.7109375" customWidth="1"/>
    <col min="24" max="24" width="77.85546875" customWidth="1"/>
    <col min="25" max="26" width="35.7109375" customWidth="1"/>
    <col min="27" max="27" width="77.85546875" customWidth="1"/>
  </cols>
  <sheetData>
    <row r="1" spans="1:35" ht="15.75" thickBot="1">
      <c r="A1" s="111" t="s">
        <v>248</v>
      </c>
      <c r="B1" s="39"/>
      <c r="C1" s="112"/>
      <c r="D1" s="393" t="s">
        <v>30</v>
      </c>
      <c r="E1" s="394"/>
      <c r="F1" s="394"/>
      <c r="G1" s="394"/>
      <c r="H1" s="394"/>
      <c r="I1" s="394"/>
      <c r="J1" s="394"/>
      <c r="K1" s="394"/>
      <c r="L1" s="394"/>
      <c r="M1" s="394"/>
      <c r="N1" s="394"/>
      <c r="O1" s="394"/>
      <c r="P1" s="394"/>
      <c r="Q1" s="394"/>
      <c r="R1" s="394"/>
      <c r="S1" s="394"/>
      <c r="T1" s="394"/>
      <c r="U1" s="394"/>
      <c r="V1" s="394"/>
      <c r="W1" s="394"/>
      <c r="X1" s="394"/>
      <c r="Y1" s="394"/>
      <c r="Z1" s="394"/>
      <c r="AA1" s="403"/>
      <c r="AB1" s="422"/>
      <c r="AC1" s="1"/>
      <c r="AD1" s="1"/>
      <c r="AE1" s="1"/>
      <c r="AF1" s="1"/>
      <c r="AG1" s="1"/>
      <c r="AH1" s="1"/>
      <c r="AI1" s="1"/>
    </row>
    <row r="2" spans="1:35" ht="15.75" thickBot="1">
      <c r="A2" s="100"/>
      <c r="B2" s="363" t="s">
        <v>425</v>
      </c>
      <c r="C2" s="363"/>
      <c r="D2" s="419" t="s">
        <v>36</v>
      </c>
      <c r="E2" s="420"/>
      <c r="F2" s="421"/>
      <c r="G2" s="419" t="s">
        <v>37</v>
      </c>
      <c r="H2" s="420"/>
      <c r="I2" s="421"/>
      <c r="J2" s="420" t="s">
        <v>38</v>
      </c>
      <c r="K2" s="420"/>
      <c r="L2" s="421"/>
      <c r="M2" s="419" t="s">
        <v>39</v>
      </c>
      <c r="N2" s="420"/>
      <c r="O2" s="421"/>
      <c r="P2" s="419" t="s">
        <v>40</v>
      </c>
      <c r="Q2" s="420"/>
      <c r="R2" s="421"/>
      <c r="S2" s="419" t="s">
        <v>41</v>
      </c>
      <c r="T2" s="420"/>
      <c r="U2" s="421"/>
      <c r="V2" s="419" t="s">
        <v>42</v>
      </c>
      <c r="W2" s="420"/>
      <c r="X2" s="421"/>
      <c r="Y2" s="419" t="s">
        <v>43</v>
      </c>
      <c r="Z2" s="420"/>
      <c r="AA2" s="421"/>
      <c r="AB2" s="422"/>
      <c r="AC2" s="17"/>
      <c r="AD2" s="101"/>
      <c r="AE2" s="36"/>
      <c r="AF2" s="17"/>
      <c r="AG2" s="17"/>
      <c r="AH2" s="17"/>
      <c r="AI2" s="17"/>
    </row>
    <row r="3" spans="1:35" ht="15.75" thickBot="1">
      <c r="A3" s="100"/>
      <c r="B3" s="107"/>
      <c r="C3" s="107"/>
      <c r="D3" s="227" t="s">
        <v>103</v>
      </c>
      <c r="E3" s="228" t="s">
        <v>104</v>
      </c>
      <c r="F3" s="229" t="s">
        <v>425</v>
      </c>
      <c r="G3" s="227" t="s">
        <v>103</v>
      </c>
      <c r="H3" s="228" t="s">
        <v>104</v>
      </c>
      <c r="I3" s="229" t="s">
        <v>425</v>
      </c>
      <c r="J3" s="227" t="s">
        <v>103</v>
      </c>
      <c r="K3" s="228" t="s">
        <v>104</v>
      </c>
      <c r="L3" s="229" t="s">
        <v>425</v>
      </c>
      <c r="M3" s="227" t="s">
        <v>103</v>
      </c>
      <c r="N3" s="228" t="s">
        <v>104</v>
      </c>
      <c r="O3" s="229" t="s">
        <v>425</v>
      </c>
      <c r="P3" s="227" t="s">
        <v>103</v>
      </c>
      <c r="Q3" s="228" t="s">
        <v>104</v>
      </c>
      <c r="R3" s="229" t="s">
        <v>425</v>
      </c>
      <c r="S3" s="227" t="s">
        <v>103</v>
      </c>
      <c r="T3" s="228" t="s">
        <v>104</v>
      </c>
      <c r="U3" s="229" t="s">
        <v>425</v>
      </c>
      <c r="V3" s="227" t="s">
        <v>103</v>
      </c>
      <c r="W3" s="228" t="s">
        <v>104</v>
      </c>
      <c r="X3" s="229" t="s">
        <v>425</v>
      </c>
      <c r="Y3" s="227" t="s">
        <v>103</v>
      </c>
      <c r="Z3" s="228" t="s">
        <v>104</v>
      </c>
      <c r="AA3" s="229" t="s">
        <v>425</v>
      </c>
      <c r="AB3" s="99"/>
      <c r="AC3" s="106" t="s">
        <v>171</v>
      </c>
      <c r="AD3" s="17"/>
      <c r="AE3" s="17"/>
      <c r="AF3" s="17"/>
      <c r="AG3" s="17"/>
      <c r="AH3" s="17"/>
      <c r="AI3" s="17"/>
    </row>
    <row r="4" spans="1:35" ht="375.75" thickBot="1">
      <c r="A4" s="416" t="s">
        <v>31</v>
      </c>
      <c r="B4" s="392" t="s">
        <v>2</v>
      </c>
      <c r="C4" s="224" t="str">
        <f>'Step 1 - System Definition'!O2</f>
        <v>Battery Cell(s)</v>
      </c>
      <c r="D4" s="108" t="str">
        <f>'Step 4 - Consequence Analysis'!E4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4" s="169" t="str">
        <f>'Step 4 - Consequence Analysis'!F4</f>
        <v>Not Applicable</v>
      </c>
      <c r="F4" s="253" t="s">
        <v>429</v>
      </c>
      <c r="G4" s="255" t="str">
        <f>'Step 4 - Consequence Analysis'!H4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4" s="78" t="str">
        <f>'Step 4 - Consequence Analysis'!I4</f>
        <v>Not Applicable</v>
      </c>
      <c r="I4" s="258" t="s">
        <v>429</v>
      </c>
      <c r="J4" s="108" t="str">
        <f>'Step 4 - Consequence Analysis'!K4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4" s="169" t="str">
        <f>'Step 4 - Consequence Analysis'!L4</f>
        <v>Not Applicable</v>
      </c>
      <c r="L4" s="253" t="s">
        <v>429</v>
      </c>
      <c r="M4" s="108" t="str">
        <f>'Step 4 - Consequence Analysis'!N4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4" s="169" t="str">
        <f>'Step 4 - Consequence Analysis'!O4</f>
        <v>Not Applicable</v>
      </c>
      <c r="O4" s="253" t="s">
        <v>429</v>
      </c>
      <c r="P4" s="255" t="str">
        <f>'Step 4 - Consequence Analysis'!Q4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4" s="78" t="str">
        <f>'Step 4 - Consequence Analysis'!R4</f>
        <v>Not Applicable</v>
      </c>
      <c r="R4" s="258" t="s">
        <v>429</v>
      </c>
      <c r="S4" s="108" t="str">
        <f>'Step 4 - Consequence Analysis'!T4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4" s="169" t="str">
        <f>'Step 4 - Consequence Analysis'!U4</f>
        <v>Not Applicable</v>
      </c>
      <c r="U4" s="253" t="s">
        <v>429</v>
      </c>
      <c r="V4" s="108" t="str">
        <f>'Step 4 - Consequence Analysis'!W4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4" s="169" t="str">
        <f>'Step 4 - Consequence Analysis'!X4</f>
        <v>Not Applicable</v>
      </c>
      <c r="X4" s="253" t="s">
        <v>429</v>
      </c>
      <c r="Y4" s="108" t="str">
        <f>'Step 4 - Consequence Analysis'!Z4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4" s="169" t="str">
        <f>'Step 4 - Consequence Analysis'!AA4</f>
        <v>Not Applicable</v>
      </c>
      <c r="AA4" s="253" t="s">
        <v>429</v>
      </c>
      <c r="AB4" s="57"/>
      <c r="AC4" s="367" t="s">
        <v>430</v>
      </c>
      <c r="AD4" s="368"/>
      <c r="AE4" s="368"/>
      <c r="AF4" s="368"/>
      <c r="AG4" s="368"/>
      <c r="AH4" s="368"/>
      <c r="AI4" s="369"/>
    </row>
    <row r="5" spans="1:35" ht="375.75" thickBot="1">
      <c r="A5" s="417"/>
      <c r="B5" s="390"/>
      <c r="C5" s="225" t="str">
        <f>'Step 1 - System Definition'!O3</f>
        <v>Battery Module(s)</v>
      </c>
      <c r="D5" s="109" t="str">
        <f>'Step 4 - Consequence Analysis'!E5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5" s="168" t="str">
        <f>'Step 4 - Consequence Analysis'!F5</f>
        <v>Not Applicable</v>
      </c>
      <c r="F5" s="253" t="s">
        <v>429</v>
      </c>
      <c r="G5" s="109" t="str">
        <f>'Step 4 - Consequence Analysis'!H5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5" s="168" t="str">
        <f>'Step 4 - Consequence Analysis'!I5</f>
        <v>Not Applicable</v>
      </c>
      <c r="I5" s="253" t="s">
        <v>429</v>
      </c>
      <c r="J5" s="109" t="str">
        <f>'Step 4 - Consequence Analysis'!K5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5" s="168" t="str">
        <f>'Step 4 - Consequence Analysis'!L5</f>
        <v>Not Applicable</v>
      </c>
      <c r="L5" s="253" t="s">
        <v>429</v>
      </c>
      <c r="M5" s="109" t="str">
        <f>'Step 4 - Consequence Analysis'!N5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5" s="168" t="str">
        <f>'Step 4 - Consequence Analysis'!O5</f>
        <v>Not Applicable</v>
      </c>
      <c r="O5" s="253" t="s">
        <v>429</v>
      </c>
      <c r="P5" s="109" t="str">
        <f>'Step 4 - Consequence Analysis'!Q5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5" s="168" t="str">
        <f>'Step 4 - Consequence Analysis'!R5</f>
        <v>Not Applicable</v>
      </c>
      <c r="R5" s="253" t="s">
        <v>429</v>
      </c>
      <c r="S5" s="109" t="str">
        <f>'Step 4 - Consequence Analysis'!T5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5" s="168" t="str">
        <f>'Step 4 - Consequence Analysis'!U5</f>
        <v>Not Applicable</v>
      </c>
      <c r="U5" s="253" t="s">
        <v>429</v>
      </c>
      <c r="V5" s="109" t="str">
        <f>'Step 4 - Consequence Analysis'!W5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5" s="168" t="str">
        <f>'Step 4 - Consequence Analysis'!X5</f>
        <v>Not Applicable</v>
      </c>
      <c r="X5" s="253" t="s">
        <v>429</v>
      </c>
      <c r="Y5" s="109" t="str">
        <f>'Step 4 - Consequence Analysis'!Z5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5" s="168" t="str">
        <f>'Step 4 - Consequence Analysis'!AA5</f>
        <v>Not Applicable</v>
      </c>
      <c r="AA5" s="253" t="s">
        <v>429</v>
      </c>
      <c r="AB5" s="57"/>
      <c r="AC5" s="370"/>
      <c r="AD5" s="371"/>
      <c r="AE5" s="371"/>
      <c r="AF5" s="371"/>
      <c r="AG5" s="371"/>
      <c r="AH5" s="371"/>
      <c r="AI5" s="372"/>
    </row>
    <row r="6" spans="1:35" ht="375.75" thickBot="1">
      <c r="A6" s="417"/>
      <c r="B6" s="391"/>
      <c r="C6" s="226" t="str">
        <f>'Step 1 - System Definition'!O4</f>
        <v>Battery Pack(s)</v>
      </c>
      <c r="D6" s="110" t="str">
        <f>'Step 4 - Consequence Analysis'!E6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6" s="170" t="str">
        <f>'Step 4 - Consequence Analysis'!F6</f>
        <v>Not Applicable</v>
      </c>
      <c r="F6" s="285" t="s">
        <v>429</v>
      </c>
      <c r="G6" s="110" t="str">
        <f>'Step 4 - Consequence Analysis'!H6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6" s="170" t="str">
        <f>'Step 4 - Consequence Analysis'!I6</f>
        <v>Not Applicable</v>
      </c>
      <c r="I6" s="285" t="s">
        <v>429</v>
      </c>
      <c r="J6" s="110" t="str">
        <f>'Step 4 - Consequence Analysis'!K6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6" s="170" t="str">
        <f>'Step 4 - Consequence Analysis'!L6</f>
        <v>Not Applicable</v>
      </c>
      <c r="L6" s="285" t="s">
        <v>429</v>
      </c>
      <c r="M6" s="110" t="str">
        <f>'Step 4 - Consequence Analysis'!N6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6" s="170" t="str">
        <f>'Step 4 - Consequence Analysis'!O6</f>
        <v>Not Applicable</v>
      </c>
      <c r="O6" s="285" t="s">
        <v>429</v>
      </c>
      <c r="P6" s="110" t="str">
        <f>'Step 4 - Consequence Analysis'!Q6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6" s="170" t="str">
        <f>'Step 4 - Consequence Analysis'!R6</f>
        <v>Not Applicable</v>
      </c>
      <c r="R6" s="285" t="s">
        <v>429</v>
      </c>
      <c r="S6" s="110" t="str">
        <f>'Step 4 - Consequence Analysis'!T6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6" s="170" t="str">
        <f>'Step 4 - Consequence Analysis'!U6</f>
        <v>Not Applicable</v>
      </c>
      <c r="U6" s="285" t="s">
        <v>429</v>
      </c>
      <c r="V6" s="110" t="str">
        <f>'Step 4 - Consequence Analysis'!W6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6" s="170" t="str">
        <f>'Step 4 - Consequence Analysis'!X6</f>
        <v>Not Applicable</v>
      </c>
      <c r="X6" s="285" t="s">
        <v>429</v>
      </c>
      <c r="Y6" s="110" t="str">
        <f>'Step 4 - Consequence Analysis'!Z6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6" s="170" t="str">
        <f>'Step 4 - Consequence Analysis'!AA6</f>
        <v>Not Applicable</v>
      </c>
      <c r="AA6" s="285" t="s">
        <v>429</v>
      </c>
      <c r="AB6" s="57"/>
      <c r="AC6" s="373"/>
      <c r="AD6" s="374"/>
      <c r="AE6" s="374"/>
      <c r="AF6" s="374"/>
      <c r="AG6" s="374"/>
      <c r="AH6" s="374"/>
      <c r="AI6" s="375"/>
    </row>
    <row r="7" spans="1:35" ht="375.75" thickBot="1">
      <c r="A7" s="417"/>
      <c r="B7" s="392" t="s">
        <v>32</v>
      </c>
      <c r="C7" s="224" t="str">
        <f>'Step 1 - System Definition'!O5</f>
        <v>Interface Board(s)</v>
      </c>
      <c r="D7" s="108" t="str">
        <f>'Step 4 - Consequence Analysis'!E7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7" s="169" t="str">
        <f>'Step 4 - Consequence Analysis'!F7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7" s="253" t="s">
        <v>429</v>
      </c>
      <c r="G7" s="108" t="str">
        <f>'Step 4 - Consequence Analysis'!H7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7" s="169" t="str">
        <f>'Step 4 - Consequence Analysis'!I7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7" s="253" t="s">
        <v>429</v>
      </c>
      <c r="J7" s="108" t="str">
        <f>'Step 4 - Consequence Analysis'!K7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7" s="169" t="str">
        <f>'Step 4 - Consequence Analysis'!L7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7" s="253" t="s">
        <v>429</v>
      </c>
      <c r="M7" s="108" t="str">
        <f>'Step 4 - Consequence Analysis'!N7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7" s="169" t="str">
        <f>'Step 4 - Consequence Analysis'!O7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7" s="253" t="s">
        <v>429</v>
      </c>
      <c r="P7" s="108" t="str">
        <f>'Step 4 - Consequence Analysis'!Q7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7" s="169" t="str">
        <f>'Step 4 - Consequence Analysis'!R7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7" s="253" t="s">
        <v>429</v>
      </c>
      <c r="S7" s="108" t="str">
        <f>'Step 4 - Consequence Analysis'!T7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7" s="169" t="str">
        <f>'Step 4 - Consequence Analysis'!U7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7" s="253" t="s">
        <v>429</v>
      </c>
      <c r="V7" s="108" t="str">
        <f>'Step 4 - Consequence Analysis'!W7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7" s="169" t="str">
        <f>'Step 4 - Consequence Analysis'!X7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7" s="253" t="s">
        <v>429</v>
      </c>
      <c r="Y7" s="108" t="str">
        <f>'Step 4 - Consequence Analysis'!Z7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7" s="169" t="str">
        <f>'Step 4 - Consequence Analysis'!AA7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7" s="253" t="s">
        <v>429</v>
      </c>
      <c r="AB7" s="57"/>
      <c r="AC7" s="17"/>
      <c r="AD7" s="17"/>
      <c r="AE7" s="17"/>
      <c r="AF7" s="17"/>
      <c r="AG7" s="17"/>
      <c r="AH7" s="17"/>
      <c r="AI7" s="17"/>
    </row>
    <row r="8" spans="1:35" ht="375.75" thickBot="1">
      <c r="A8" s="417"/>
      <c r="B8" s="390"/>
      <c r="C8" s="225" t="str">
        <f>'Step 1 - System Definition'!O6</f>
        <v>Controller</v>
      </c>
      <c r="D8" s="109" t="str">
        <f>'Step 4 - Consequence Analysis'!E8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8" s="168" t="str">
        <f>'Step 4 - Consequence Analysis'!F8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8" s="253" t="s">
        <v>429</v>
      </c>
      <c r="G8" s="109" t="str">
        <f>'Step 4 - Consequence Analysis'!H8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8" s="168" t="str">
        <f>'Step 4 - Consequence Analysis'!I8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I8" s="253" t="s">
        <v>429</v>
      </c>
      <c r="J8" s="109" t="str">
        <f>'Step 4 - Consequence Analysis'!K8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8" s="168" t="str">
        <f>'Step 4 - Consequence Analysis'!L8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L8" s="253" t="s">
        <v>429</v>
      </c>
      <c r="M8" s="109" t="str">
        <f>'Step 4 - Consequence Analysis'!N8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8" s="168" t="str">
        <f>'Step 4 - Consequence Analysis'!O8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O8" s="253" t="s">
        <v>429</v>
      </c>
      <c r="P8" s="109" t="str">
        <f>'Step 4 - Consequence Analysis'!Q8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8" s="168" t="str">
        <f>'Step 4 - Consequence Analysis'!R8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R8" s="253" t="s">
        <v>429</v>
      </c>
      <c r="S8" s="109" t="str">
        <f>'Step 4 - Consequence Analysis'!T8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8" s="168" t="str">
        <f>'Step 4 - Consequence Analysis'!U8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U8" s="253" t="s">
        <v>429</v>
      </c>
      <c r="V8" s="109" t="str">
        <f>'Step 4 - Consequence Analysis'!W8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8" s="168" t="str">
        <f>'Step 4 - Consequence Analysis'!X8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X8" s="253" t="s">
        <v>429</v>
      </c>
      <c r="Y8" s="109" t="str">
        <f>'Step 4 - Consequence Analysis'!Z8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8" s="168" t="str">
        <f>'Step 4 - Consequence Analysis'!AA8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AA8" s="253" t="s">
        <v>429</v>
      </c>
      <c r="AB8" s="57"/>
      <c r="AC8" s="17"/>
      <c r="AD8" s="17"/>
      <c r="AE8" s="17"/>
      <c r="AF8" s="17"/>
      <c r="AG8" s="17"/>
      <c r="AH8" s="17"/>
      <c r="AI8" s="17"/>
    </row>
    <row r="9" spans="1:35" ht="375.75" thickBot="1">
      <c r="A9" s="417"/>
      <c r="B9" s="391"/>
      <c r="C9" s="226" t="str">
        <f>'Step 1 - System Definition'!O7</f>
        <v>Sensor(s)</v>
      </c>
      <c r="D9" s="110" t="str">
        <f>'Step 4 - Consequence Analysis'!E9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9" s="170" t="str">
        <f>'Step 4 - Consequence Analysis'!F9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9" s="285" t="s">
        <v>429</v>
      </c>
      <c r="G9" s="110" t="str">
        <f>'Step 4 - Consequence Analysis'!H9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9" s="170" t="str">
        <f>'Step 4 - Consequence Analysis'!I9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9" s="285" t="s">
        <v>429</v>
      </c>
      <c r="J9" s="110" t="str">
        <f>'Step 4 - Consequence Analysis'!K9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9" s="170" t="str">
        <f>'Step 4 - Consequence Analysis'!L9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9" s="285" t="s">
        <v>429</v>
      </c>
      <c r="M9" s="110" t="str">
        <f>'Step 4 - Consequence Analysis'!N9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9" s="170" t="str">
        <f>'Step 4 - Consequence Analysis'!O9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9" s="285" t="s">
        <v>429</v>
      </c>
      <c r="P9" s="110" t="str">
        <f>'Step 4 - Consequence Analysis'!Q9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9" s="170" t="str">
        <f>'Step 4 - Consequence Analysis'!R9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9" s="285" t="s">
        <v>429</v>
      </c>
      <c r="S9" s="110" t="str">
        <f>'Step 4 - Consequence Analysis'!T9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9" s="170" t="str">
        <f>'Step 4 - Consequence Analysis'!U9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9" s="285" t="s">
        <v>429</v>
      </c>
      <c r="V9" s="110" t="str">
        <f>'Step 4 - Consequence Analysis'!W9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9" s="170" t="str">
        <f>'Step 4 - Consequence Analysis'!X9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9" s="285" t="s">
        <v>429</v>
      </c>
      <c r="Y9" s="110" t="str">
        <f>'Step 4 - Consequence Analysis'!Z9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9" s="170" t="str">
        <f>'Step 4 - Consequence Analysis'!AA9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9" s="285" t="s">
        <v>429</v>
      </c>
      <c r="AB9" s="57"/>
      <c r="AC9" s="17"/>
      <c r="AD9" s="17"/>
      <c r="AE9" s="17"/>
      <c r="AF9" s="17"/>
      <c r="AG9" s="17"/>
      <c r="AH9" s="17"/>
      <c r="AI9" s="17"/>
    </row>
    <row r="10" spans="1:35" ht="375.75" thickBot="1">
      <c r="A10" s="417"/>
      <c r="B10" s="392" t="s">
        <v>33</v>
      </c>
      <c r="C10" s="224" t="str">
        <f>'Step 1 - System Definition'!O8</f>
        <v>Battery Thermal Regulation</v>
      </c>
      <c r="D10" s="108" t="str">
        <f>'Step 4 - Consequence Analysis'!E10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10" s="169" t="str">
        <f>'Step 4 - Consequence Analysis'!F10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10" s="253" t="s">
        <v>429</v>
      </c>
      <c r="G10" s="108" t="str">
        <f>'Step 4 - Consequence Analysis'!H10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10" s="169" t="str">
        <f>'Step 4 - Consequence Analysis'!I10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10" s="253" t="s">
        <v>429</v>
      </c>
      <c r="J10" s="108" t="str">
        <f>'Step 4 - Consequence Analysis'!K10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10" s="169" t="str">
        <f>'Step 4 - Consequence Analysis'!L10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10" s="253" t="s">
        <v>429</v>
      </c>
      <c r="M10" s="108" t="str">
        <f>'Step 4 - Consequence Analysis'!N10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10" s="169" t="str">
        <f>'Step 4 - Consequence Analysis'!O10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10" s="253" t="s">
        <v>429</v>
      </c>
      <c r="P10" s="108" t="str">
        <f>'Step 4 - Consequence Analysis'!Q10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10" s="169" t="str">
        <f>'Step 4 - Consequence Analysis'!R10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10" s="253" t="s">
        <v>429</v>
      </c>
      <c r="S10" s="108" t="str">
        <f>'Step 4 - Consequence Analysis'!T10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10" s="169" t="str">
        <f>'Step 4 - Consequence Analysis'!U10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10" s="253" t="s">
        <v>429</v>
      </c>
      <c r="V10" s="108" t="str">
        <f>'Step 4 - Consequence Analysis'!W10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10" s="169" t="str">
        <f>'Step 4 - Consequence Analysis'!X10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10" s="253" t="s">
        <v>429</v>
      </c>
      <c r="Y10" s="108" t="str">
        <f>'Step 4 - Consequence Analysis'!Z10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10" s="169" t="str">
        <f>'Step 4 - Consequence Analysis'!AA10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10" s="253" t="s">
        <v>429</v>
      </c>
      <c r="AB10" s="57"/>
      <c r="AC10" s="17"/>
      <c r="AD10" s="17"/>
      <c r="AE10" s="17"/>
      <c r="AF10" s="17"/>
      <c r="AG10" s="17"/>
      <c r="AH10" s="17"/>
      <c r="AI10" s="17"/>
    </row>
    <row r="11" spans="1:35" ht="375.75" thickBot="1">
      <c r="A11" s="417"/>
      <c r="B11" s="390"/>
      <c r="C11" s="225" t="str">
        <f>'Step 1 - System Definition'!O9</f>
        <v>Rack Thermal Regulation</v>
      </c>
      <c r="D11" s="109" t="str">
        <f>'Step 4 - Consequence Analysis'!E11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11" s="168" t="str">
        <f>'Step 4 - Consequence Analysis'!F11</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11" s="253" t="s">
        <v>429</v>
      </c>
      <c r="G11" s="109" t="str">
        <f>'Step 4 - Consequence Analysis'!H11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11" s="168" t="str">
        <f>'Step 4 - Consequence Analysis'!I11</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11" s="253" t="s">
        <v>429</v>
      </c>
      <c r="J11" s="109" t="str">
        <f>'Step 4 - Consequence Analysis'!K11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11" s="168" t="str">
        <f>'Step 4 - Consequence Analysis'!L11</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11" s="253" t="s">
        <v>429</v>
      </c>
      <c r="M11" s="109" t="str">
        <f>'Step 4 - Consequence Analysis'!N11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11" s="168" t="str">
        <f>'Step 4 - Consequence Analysis'!O11</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11" s="253" t="s">
        <v>429</v>
      </c>
      <c r="P11" s="109" t="str">
        <f>'Step 4 - Consequence Analysis'!Q11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11" s="168" t="str">
        <f>'Step 4 - Consequence Analysis'!R11</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11" s="253" t="s">
        <v>429</v>
      </c>
      <c r="S11" s="109" t="str">
        <f>'Step 4 - Consequence Analysis'!T11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11" s="168" t="str">
        <f>'Step 4 - Consequence Analysis'!U11</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11" s="253" t="s">
        <v>429</v>
      </c>
      <c r="V11" s="109" t="str">
        <f>'Step 4 - Consequence Analysis'!W11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11" s="168" t="str">
        <f>'Step 4 - Consequence Analysis'!X11</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11" s="253" t="s">
        <v>429</v>
      </c>
      <c r="Y11" s="109" t="str">
        <f>'Step 4 - Consequence Analysis'!Z11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11" s="168" t="str">
        <f>'Step 4 - Consequence Analysis'!AA11</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11" s="253" t="s">
        <v>429</v>
      </c>
      <c r="AB11" s="57"/>
      <c r="AC11" s="17"/>
      <c r="AD11" s="17"/>
      <c r="AE11" s="17"/>
      <c r="AF11" s="17"/>
      <c r="AG11" s="17"/>
      <c r="AH11" s="17"/>
      <c r="AI11" s="17"/>
    </row>
    <row r="12" spans="1:35" ht="375.75" thickBot="1">
      <c r="A12" s="417"/>
      <c r="B12" s="390"/>
      <c r="C12" s="225" t="str">
        <f>'Step 1 - System Definition'!O10</f>
        <v>Container Thermal Regulation</v>
      </c>
      <c r="D12" s="109" t="str">
        <f>'Step 4 - Consequence Analysis'!E12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12" s="168" t="str">
        <f>'Step 4 - Consequence Analysis'!F12</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12" s="253" t="s">
        <v>429</v>
      </c>
      <c r="G12" s="109" t="str">
        <f>'Step 4 - Consequence Analysis'!H12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12" s="168" t="str">
        <f>'Step 4 - Consequence Analysis'!I12</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12" s="253" t="s">
        <v>429</v>
      </c>
      <c r="J12" s="109" t="str">
        <f>'Step 4 - Consequence Analysis'!K12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12" s="168" t="str">
        <f>'Step 4 - Consequence Analysis'!L12</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12" s="253" t="s">
        <v>429</v>
      </c>
      <c r="M12" s="109" t="str">
        <f>'Step 4 - Consequence Analysis'!N12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12" s="168" t="str">
        <f>'Step 4 - Consequence Analysis'!O12</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12" s="253" t="s">
        <v>429</v>
      </c>
      <c r="P12" s="109" t="str">
        <f>'Step 4 - Consequence Analysis'!Q12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12" s="168" t="str">
        <f>'Step 4 - Consequence Analysis'!R12</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12" s="253" t="s">
        <v>429</v>
      </c>
      <c r="S12" s="109" t="str">
        <f>'Step 4 - Consequence Analysis'!T12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12" s="168" t="str">
        <f>'Step 4 - Consequence Analysis'!U12</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12" s="253" t="s">
        <v>429</v>
      </c>
      <c r="V12" s="109" t="str">
        <f>'Step 4 - Consequence Analysis'!W12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12" s="168" t="str">
        <f>'Step 4 - Consequence Analysis'!X12</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12" s="253" t="s">
        <v>429</v>
      </c>
      <c r="Y12" s="109" t="str">
        <f>'Step 4 - Consequence Analysis'!Z12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12" s="168" t="str">
        <f>'Step 4 - Consequence Analysis'!AA12</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12" s="253" t="s">
        <v>429</v>
      </c>
      <c r="AB12" s="57"/>
      <c r="AC12" s="17"/>
      <c r="AD12" s="17"/>
      <c r="AE12" s="17"/>
      <c r="AF12" s="17"/>
      <c r="AG12" s="17"/>
      <c r="AH12" s="17"/>
      <c r="AI12" s="17"/>
    </row>
    <row r="13" spans="1:35" ht="375.75" thickBot="1">
      <c r="A13" s="417"/>
      <c r="B13" s="391"/>
      <c r="C13" s="226" t="str">
        <f>'Step 1 - System Definition'!O11</f>
        <v>Fire Protection</v>
      </c>
      <c r="D13" s="110" t="str">
        <f>'Step 4 - Consequence Analysis'!E13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13" s="170" t="str">
        <f>'Step 4 - Consequence Analysis'!F13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13" s="285" t="s">
        <v>429</v>
      </c>
      <c r="G13" s="110" t="str">
        <f>'Step 4 - Consequence Analysis'!H13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13" s="170" t="str">
        <f>'Step 4 - Consequence Analysis'!I13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13" s="285" t="s">
        <v>429</v>
      </c>
      <c r="J13" s="110" t="str">
        <f>'Step 4 - Consequence Analysis'!K13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13" s="170" t="str">
        <f>'Step 4 - Consequence Analysis'!L13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13" s="285" t="s">
        <v>429</v>
      </c>
      <c r="M13" s="110" t="str">
        <f>'Step 4 - Consequence Analysis'!N13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13" s="170" t="str">
        <f>'Step 4 - Consequence Analysis'!O13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13" s="285" t="s">
        <v>429</v>
      </c>
      <c r="P13" s="110" t="str">
        <f>'Step 4 - Consequence Analysis'!Q13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13" s="170" t="str">
        <f>'Step 4 - Consequence Analysis'!R13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13" s="285" t="s">
        <v>429</v>
      </c>
      <c r="S13" s="110" t="str">
        <f>'Step 4 - Consequence Analysis'!T13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13" s="170" t="str">
        <f>'Step 4 - Consequence Analysis'!U13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13" s="285" t="s">
        <v>429</v>
      </c>
      <c r="V13" s="110" t="str">
        <f>'Step 4 - Consequence Analysis'!W13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13" s="170" t="str">
        <f>'Step 4 - Consequence Analysis'!X13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13" s="285" t="s">
        <v>429</v>
      </c>
      <c r="Y13" s="110" t="str">
        <f>'Step 4 - Consequence Analysis'!Z13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13" s="170" t="str">
        <f>'Step 4 - Consequence Analysis'!AA13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13" s="285" t="s">
        <v>429</v>
      </c>
      <c r="AB13" s="57"/>
      <c r="AC13" s="17"/>
      <c r="AD13" s="17"/>
      <c r="AE13" s="17"/>
      <c r="AF13" s="17"/>
      <c r="AG13" s="17"/>
      <c r="AH13" s="17"/>
      <c r="AI13" s="17"/>
    </row>
    <row r="14" spans="1:35" ht="375.75" thickBot="1">
      <c r="A14" s="417"/>
      <c r="B14" s="42" t="s">
        <v>34</v>
      </c>
      <c r="C14" s="286" t="str">
        <f>'Step 1 - System Definition'!O12</f>
        <v>Inverter(s)</v>
      </c>
      <c r="D14" s="230" t="str">
        <f>'Step 4 - Consequence Analysis'!E14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14" s="287" t="str">
        <f>'Step 4 - Consequence Analysis'!F14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14" s="285" t="s">
        <v>429</v>
      </c>
      <c r="G14" s="230" t="str">
        <f>'Step 4 - Consequence Analysis'!H14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14" s="287" t="str">
        <f>'Step 4 - Consequence Analysis'!I14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14" s="285" t="s">
        <v>429</v>
      </c>
      <c r="J14" s="230" t="str">
        <f>'Step 4 - Consequence Analysis'!K14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14" s="287" t="str">
        <f>'Step 4 - Consequence Analysis'!L14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14" s="285" t="s">
        <v>429</v>
      </c>
      <c r="M14" s="230" t="str">
        <f>'Step 4 - Consequence Analysis'!N14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14" s="287" t="str">
        <f>'Step 4 - Consequence Analysis'!O14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14" s="285" t="s">
        <v>429</v>
      </c>
      <c r="P14" s="230" t="str">
        <f>'Step 4 - Consequence Analysis'!Q14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14" s="287" t="str">
        <f>'Step 4 - Consequence Analysis'!R14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14" s="285" t="s">
        <v>429</v>
      </c>
      <c r="S14" s="230" t="str">
        <f>'Step 4 - Consequence Analysis'!T14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14" s="287" t="str">
        <f>'Step 4 - Consequence Analysis'!U14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14" s="285" t="s">
        <v>429</v>
      </c>
      <c r="V14" s="230" t="str">
        <f>'Step 4 - Consequence Analysis'!W14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14" s="287" t="str">
        <f>'Step 4 - Consequence Analysis'!X14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14" s="285" t="s">
        <v>429</v>
      </c>
      <c r="Y14" s="230" t="str">
        <f>'Step 4 - Consequence Analysis'!Z14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14" s="288" t="str">
        <f>'Step 4 - Consequence Analysis'!AA14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14" s="285" t="s">
        <v>429</v>
      </c>
      <c r="AB14" s="57"/>
      <c r="AC14" s="17"/>
      <c r="AD14" s="17"/>
      <c r="AE14" s="17"/>
      <c r="AF14" s="17"/>
      <c r="AG14" s="17"/>
      <c r="AH14" s="17"/>
      <c r="AI14" s="17"/>
    </row>
    <row r="15" spans="1:35" ht="375.75" thickBot="1">
      <c r="A15" s="417"/>
      <c r="B15" s="398" t="s">
        <v>35</v>
      </c>
      <c r="C15" s="224" t="str">
        <f>'Step 1 - System Definition'!O13</f>
        <v>SCADA Server</v>
      </c>
      <c r="D15" s="108" t="str">
        <f>'Step 4 - Consequence Analysis'!E15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15" s="169" t="str">
        <f>'Step 4 - Consequence Analysis'!F15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15" s="253" t="s">
        <v>429</v>
      </c>
      <c r="G15" s="108" t="str">
        <f>'Step 4 - Consequence Analysis'!H15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15" s="169" t="str">
        <f>'Step 4 - Consequence Analysis'!I15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I15" s="253" t="s">
        <v>429</v>
      </c>
      <c r="J15" s="108" t="str">
        <f>'Step 4 - Consequence Analysis'!K15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15" s="169" t="str">
        <f>'Step 4 - Consequence Analysis'!L15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L15" s="253" t="s">
        <v>429</v>
      </c>
      <c r="M15" s="108" t="str">
        <f>'Step 4 - Consequence Analysis'!N15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15" s="169" t="str">
        <f>'Step 4 - Consequence Analysis'!O15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O15" s="253" t="s">
        <v>429</v>
      </c>
      <c r="P15" s="108" t="str">
        <f>'Step 4 - Consequence Analysis'!Q15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15" s="169" t="str">
        <f>'Step 4 - Consequence Analysis'!R15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R15" s="253" t="s">
        <v>429</v>
      </c>
      <c r="S15" s="108" t="str">
        <f>'Step 4 - Consequence Analysis'!T15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15" s="169" t="str">
        <f>'Step 4 - Consequence Analysis'!U15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U15" s="253" t="s">
        <v>429</v>
      </c>
      <c r="V15" s="108" t="str">
        <f>'Step 4 - Consequence Analysis'!W15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15" s="169" t="str">
        <f>'Step 4 - Consequence Analysis'!X15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X15" s="253" t="s">
        <v>429</v>
      </c>
      <c r="Y15" s="108" t="str">
        <f>'Step 4 - Consequence Analysis'!Z15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15" s="169" t="str">
        <f>'Step 4 - Consequence Analysis'!AA15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AA15" s="253" t="s">
        <v>429</v>
      </c>
      <c r="AB15" s="57"/>
      <c r="AC15" s="17"/>
      <c r="AD15" s="17"/>
      <c r="AE15" s="17"/>
      <c r="AF15" s="17"/>
      <c r="AG15" s="17"/>
      <c r="AH15" s="17"/>
      <c r="AI15" s="17"/>
    </row>
    <row r="16" spans="1:35" ht="375.75" thickBot="1">
      <c r="A16" s="417"/>
      <c r="B16" s="399"/>
      <c r="C16" s="226" t="str">
        <f>'Step 1 - System Definition'!O14</f>
        <v>Local HMI</v>
      </c>
      <c r="D16" s="110" t="str">
        <f>'Step 4 - Consequence Analysis'!E16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16" s="170" t="str">
        <f>'Step 4 - Consequence Analysis'!F16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16" s="285" t="s">
        <v>429</v>
      </c>
      <c r="G16" s="110" t="str">
        <f>'Step 4 - Consequence Analysis'!H16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16" s="170" t="str">
        <f>'Step 4 - Consequence Analysis'!I16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I16" s="285" t="s">
        <v>429</v>
      </c>
      <c r="J16" s="110" t="str">
        <f>'Step 4 - Consequence Analysis'!K16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16" s="170" t="str">
        <f>'Step 4 - Consequence Analysis'!L16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L16" s="285" t="s">
        <v>429</v>
      </c>
      <c r="M16" s="110" t="str">
        <f>'Step 4 - Consequence Analysis'!N16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16" s="170" t="str">
        <f>'Step 4 - Consequence Analysis'!O16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O16" s="285" t="s">
        <v>429</v>
      </c>
      <c r="P16" s="110" t="str">
        <f>'Step 4 - Consequence Analysis'!Q16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16" s="170" t="str">
        <f>'Step 4 - Consequence Analysis'!R16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R16" s="285" t="s">
        <v>429</v>
      </c>
      <c r="S16" s="110" t="str">
        <f>'Step 4 - Consequence Analysis'!T16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16" s="170" t="str">
        <f>'Step 4 - Consequence Analysis'!U16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U16" s="285" t="s">
        <v>429</v>
      </c>
      <c r="V16" s="110" t="str">
        <f>'Step 4 - Consequence Analysis'!W16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16" s="170" t="str">
        <f>'Step 4 - Consequence Analysis'!X16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X16" s="285" t="s">
        <v>429</v>
      </c>
      <c r="Y16" s="110" t="str">
        <f>'Step 4 - Consequence Analysis'!Z16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16" s="170" t="str">
        <f>'Step 4 - Consequence Analysis'!AA16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AA16" s="285" t="s">
        <v>429</v>
      </c>
      <c r="AB16" s="57"/>
      <c r="AC16" s="17"/>
      <c r="AD16" s="17"/>
      <c r="AE16" s="17"/>
      <c r="AF16" s="17"/>
      <c r="AG16" s="17"/>
      <c r="AH16" s="17"/>
      <c r="AI16" s="17"/>
    </row>
    <row r="17" spans="1:35" ht="375.75" thickBot="1">
      <c r="A17" s="417"/>
      <c r="B17" s="398" t="s">
        <v>173</v>
      </c>
      <c r="C17" s="224" t="str">
        <f>'Step 1 - System Definition'!O15</f>
        <v>BESS Controller</v>
      </c>
      <c r="D17" s="108" t="str">
        <f>'Step 4 - Consequence Analysis'!E17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17" s="169" t="str">
        <f>'Step 4 - Consequence Analysis'!F17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17" s="253" t="s">
        <v>429</v>
      </c>
      <c r="G17" s="108" t="str">
        <f>'Step 4 - Consequence Analysis'!H17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17" s="169" t="str">
        <f>'Step 4 - Consequence Analysis'!I17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I17" s="253" t="s">
        <v>429</v>
      </c>
      <c r="J17" s="108" t="str">
        <f>'Step 4 - Consequence Analysis'!K17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17" s="169" t="str">
        <f>'Step 4 - Consequence Analysis'!L17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L17" s="253" t="s">
        <v>429</v>
      </c>
      <c r="M17" s="108" t="str">
        <f>'Step 4 - Consequence Analysis'!N17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17" s="169" t="str">
        <f>'Step 4 - Consequence Analysis'!O17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O17" s="253" t="s">
        <v>429</v>
      </c>
      <c r="P17" s="108" t="str">
        <f>'Step 4 - Consequence Analysis'!Q17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17" s="169" t="str">
        <f>'Step 4 - Consequence Analysis'!R17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R17" s="253" t="s">
        <v>429</v>
      </c>
      <c r="S17" s="108" t="str">
        <f>'Step 4 - Consequence Analysis'!T17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17" s="169" t="str">
        <f>'Step 4 - Consequence Analysis'!U17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U17" s="253" t="s">
        <v>429</v>
      </c>
      <c r="V17" s="108" t="str">
        <f>'Step 4 - Consequence Analysis'!W17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17" s="169" t="str">
        <f>'Step 4 - Consequence Analysis'!X17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X17" s="253" t="s">
        <v>429</v>
      </c>
      <c r="Y17" s="108" t="str">
        <f>'Step 4 - Consequence Analysis'!Z17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17" s="169" t="str">
        <f>'Step 4 - Consequence Analysis'!AA17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AA17" s="253" t="s">
        <v>429</v>
      </c>
      <c r="AB17" s="57"/>
      <c r="AC17" s="17"/>
      <c r="AD17" s="17"/>
      <c r="AE17" s="17"/>
      <c r="AF17" s="17"/>
      <c r="AG17" s="17"/>
      <c r="AH17" s="17"/>
      <c r="AI17" s="17"/>
    </row>
    <row r="18" spans="1:35" ht="375.75" thickBot="1">
      <c r="A18" s="417"/>
      <c r="B18" s="400"/>
      <c r="C18" s="225" t="str">
        <f>'Step 1 - System Definition'!O16</f>
        <v>Site Controller</v>
      </c>
      <c r="D18" s="109" t="str">
        <f>'Step 4 - Consequence Analysis'!E18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18" s="168" t="str">
        <f>'Step 4 - Consequence Analysis'!F18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18" s="253" t="s">
        <v>429</v>
      </c>
      <c r="G18" s="109" t="str">
        <f>'Step 4 - Consequence Analysis'!H18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18" s="168" t="str">
        <f>'Step 4 - Consequence Analysis'!I18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I18" s="253" t="s">
        <v>429</v>
      </c>
      <c r="J18" s="109" t="str">
        <f>'Step 4 - Consequence Analysis'!K18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18" s="168" t="str">
        <f>'Step 4 - Consequence Analysis'!L18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L18" s="253" t="s">
        <v>429</v>
      </c>
      <c r="M18" s="109" t="str">
        <f>'Step 4 - Consequence Analysis'!N18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18" s="168" t="str">
        <f>'Step 4 - Consequence Analysis'!O18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O18" s="253" t="s">
        <v>429</v>
      </c>
      <c r="P18" s="109" t="str">
        <f>'Step 4 - Consequence Analysis'!Q18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18" s="168" t="str">
        <f>'Step 4 - Consequence Analysis'!R18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R18" s="253" t="s">
        <v>429</v>
      </c>
      <c r="S18" s="109" t="str">
        <f>'Step 4 - Consequence Analysis'!T18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18" s="168" t="str">
        <f>'Step 4 - Consequence Analysis'!U18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U18" s="253" t="s">
        <v>429</v>
      </c>
      <c r="V18" s="109" t="str">
        <f>'Step 4 - Consequence Analysis'!W18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18" s="168" t="str">
        <f>'Step 4 - Consequence Analysis'!X18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X18" s="253" t="s">
        <v>429</v>
      </c>
      <c r="Y18" s="109" t="str">
        <f>'Step 4 - Consequence Analysis'!Z18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18" s="168" t="str">
        <f>'Step 4 - Consequence Analysis'!AA18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AA18" s="253" t="s">
        <v>429</v>
      </c>
      <c r="AB18" s="57"/>
      <c r="AC18" s="17"/>
      <c r="AD18" s="17"/>
      <c r="AE18" s="17"/>
      <c r="AF18" s="17"/>
      <c r="AG18" s="17"/>
      <c r="AH18" s="17"/>
      <c r="AI18" s="17"/>
    </row>
    <row r="19" spans="1:35" ht="375.75" thickBot="1">
      <c r="A19" s="417"/>
      <c r="B19" s="400"/>
      <c r="C19" s="225" t="str">
        <f>'Step 1 - System Definition'!O17</f>
        <v>Battery Meter(s)</v>
      </c>
      <c r="D19" s="109" t="str">
        <f>'Step 4 - Consequence Analysis'!E19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19" s="168" t="str">
        <f>'Step 4 - Consequence Analysis'!F19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19" s="253" t="s">
        <v>429</v>
      </c>
      <c r="G19" s="109" t="str">
        <f>'Step 4 - Consequence Analysis'!H19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19" s="168" t="str">
        <f>'Step 4 - Consequence Analysis'!I19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19" s="253" t="s">
        <v>429</v>
      </c>
      <c r="J19" s="109" t="str">
        <f>'Step 4 - Consequence Analysis'!K19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19" s="168" t="str">
        <f>'Step 4 - Consequence Analysis'!L19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19" s="253" t="s">
        <v>429</v>
      </c>
      <c r="M19" s="109" t="str">
        <f>'Step 4 - Consequence Analysis'!N19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19" s="168" t="str">
        <f>'Step 4 - Consequence Analysis'!O19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19" s="253" t="s">
        <v>429</v>
      </c>
      <c r="P19" s="109" t="str">
        <f>'Step 4 - Consequence Analysis'!Q19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19" s="168" t="str">
        <f>'Step 4 - Consequence Analysis'!R19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19" s="253" t="s">
        <v>429</v>
      </c>
      <c r="S19" s="109" t="str">
        <f>'Step 4 - Consequence Analysis'!T19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19" s="168" t="str">
        <f>'Step 4 - Consequence Analysis'!U19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19" s="253" t="s">
        <v>429</v>
      </c>
      <c r="V19" s="109" t="str">
        <f>'Step 4 - Consequence Analysis'!W19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19" s="168" t="str">
        <f>'Step 4 - Consequence Analysis'!X19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19" s="253" t="s">
        <v>429</v>
      </c>
      <c r="Y19" s="109" t="str">
        <f>'Step 4 - Consequence Analysis'!Z19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19" s="168" t="str">
        <f>'Step 4 - Consequence Analysis'!AA19</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19" s="253" t="s">
        <v>429</v>
      </c>
      <c r="AB19" s="57"/>
      <c r="AC19" s="17"/>
      <c r="AD19" s="17"/>
      <c r="AE19" s="17"/>
      <c r="AF19" s="17"/>
      <c r="AG19" s="17"/>
      <c r="AH19" s="17"/>
      <c r="AI19" s="17"/>
    </row>
    <row r="20" spans="1:35" ht="375.75" thickBot="1">
      <c r="A20" s="417"/>
      <c r="B20" s="399"/>
      <c r="C20" s="226" t="str">
        <f>'Step 1 - System Definition'!O18</f>
        <v>Site/Load Meter(s)</v>
      </c>
      <c r="D20" s="110" t="str">
        <f>'Step 4 - Consequence Analysis'!E20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20" s="170" t="str">
        <f>'Step 4 - Consequence Analysis'!F20</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20" s="285" t="s">
        <v>429</v>
      </c>
      <c r="G20" s="110" t="str">
        <f>'Step 4 - Consequence Analysis'!H20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20" s="170" t="str">
        <f>'Step 4 - Consequence Analysis'!I20</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20" s="285" t="s">
        <v>429</v>
      </c>
      <c r="J20" s="110" t="str">
        <f>'Step 4 - Consequence Analysis'!K20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20" s="170" t="str">
        <f>'Step 4 - Consequence Analysis'!L20</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20" s="285" t="s">
        <v>429</v>
      </c>
      <c r="M20" s="110" t="str">
        <f>'Step 4 - Consequence Analysis'!N20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20" s="170" t="str">
        <f>'Step 4 - Consequence Analysis'!O20</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20" s="285" t="s">
        <v>429</v>
      </c>
      <c r="P20" s="110" t="str">
        <f>'Step 4 - Consequence Analysis'!Q20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20" s="170" t="str">
        <f>'Step 4 - Consequence Analysis'!R20</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20" s="285" t="s">
        <v>429</v>
      </c>
      <c r="S20" s="110" t="str">
        <f>'Step 4 - Consequence Analysis'!T20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20" s="170" t="str">
        <f>'Step 4 - Consequence Analysis'!U20</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20" s="285" t="s">
        <v>429</v>
      </c>
      <c r="V20" s="110" t="str">
        <f>'Step 4 - Consequence Analysis'!W20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20" s="170" t="str">
        <f>'Step 4 - Consequence Analysis'!X20</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20" s="285" t="s">
        <v>429</v>
      </c>
      <c r="Y20" s="110" t="str">
        <f>'Step 4 - Consequence Analysis'!Z20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20" s="170" t="str">
        <f>'Step 4 - Consequence Analysis'!AA20</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20" s="285" t="s">
        <v>429</v>
      </c>
      <c r="AB20" s="57"/>
      <c r="AC20" s="17"/>
      <c r="AD20" s="17"/>
      <c r="AE20" s="17"/>
      <c r="AF20" s="17"/>
      <c r="AG20" s="17"/>
      <c r="AH20" s="17"/>
      <c r="AI20" s="17"/>
    </row>
    <row r="21" spans="1:35" ht="375.75" thickBot="1">
      <c r="A21" s="417"/>
      <c r="B21" s="398" t="s">
        <v>17</v>
      </c>
      <c r="C21" s="224" t="str">
        <f>'Step 1 - System Definition'!O19</f>
        <v>BESS Network Switch(s)</v>
      </c>
      <c r="D21" s="108" t="str">
        <f>'Step 4 - Consequence Analysis'!E21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21" s="169" t="str">
        <f>'Step 4 - Consequence Analysis'!F21</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21" s="253" t="s">
        <v>429</v>
      </c>
      <c r="G21" s="108" t="str">
        <f>'Step 4 - Consequence Analysis'!H21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21" s="169" t="str">
        <f>'Step 4 - Consequence Analysis'!I21</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I21" s="253" t="s">
        <v>429</v>
      </c>
      <c r="J21" s="108" t="str">
        <f>'Step 4 - Consequence Analysis'!K21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21" s="169" t="str">
        <f>'Step 4 - Consequence Analysis'!L21</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L21" s="253" t="s">
        <v>429</v>
      </c>
      <c r="M21" s="108" t="str">
        <f>'Step 4 - Consequence Analysis'!N21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21" s="169" t="str">
        <f>'Step 4 - Consequence Analysis'!O21</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O21" s="253" t="s">
        <v>429</v>
      </c>
      <c r="P21" s="108" t="str">
        <f>'Step 4 - Consequence Analysis'!Q21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21" s="169" t="str">
        <f>'Step 4 - Consequence Analysis'!R21</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R21" s="253" t="s">
        <v>429</v>
      </c>
      <c r="S21" s="108" t="str">
        <f>'Step 4 - Consequence Analysis'!T21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21" s="169" t="str">
        <f>'Step 4 - Consequence Analysis'!U21</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U21" s="253" t="s">
        <v>429</v>
      </c>
      <c r="V21" s="108" t="str">
        <f>'Step 4 - Consequence Analysis'!W21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21" s="169" t="str">
        <f>'Step 4 - Consequence Analysis'!X21</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X21" s="253" t="s">
        <v>429</v>
      </c>
      <c r="Y21" s="108" t="str">
        <f>'Step 4 - Consequence Analysis'!Z21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21" s="169" t="str">
        <f>'Step 4 - Consequence Analysis'!AA21</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AA21" s="253" t="s">
        <v>429</v>
      </c>
      <c r="AB21" s="57"/>
      <c r="AC21" s="17"/>
      <c r="AD21" s="17"/>
      <c r="AE21" s="17"/>
      <c r="AF21" s="17"/>
      <c r="AG21" s="17"/>
      <c r="AH21" s="17"/>
      <c r="AI21" s="17"/>
    </row>
    <row r="22" spans="1:35" ht="375.75" thickBot="1">
      <c r="A22" s="417"/>
      <c r="B22" s="400"/>
      <c r="C22" s="225" t="str">
        <f>'Step 1 - System Definition'!O20</f>
        <v>Site Network Switch(s)</v>
      </c>
      <c r="D22" s="109" t="str">
        <f>'Step 4 - Consequence Analysis'!E22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22" s="168" t="str">
        <f>'Step 4 - Consequence Analysis'!F22</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22" s="253" t="s">
        <v>429</v>
      </c>
      <c r="G22" s="109" t="str">
        <f>'Step 4 - Consequence Analysis'!H22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22" s="168" t="str">
        <f>'Step 4 - Consequence Analysis'!I22</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I22" s="253" t="s">
        <v>429</v>
      </c>
      <c r="J22" s="109" t="str">
        <f>'Step 4 - Consequence Analysis'!K22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22" s="168" t="str">
        <f>'Step 4 - Consequence Analysis'!L22</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L22" s="253" t="s">
        <v>429</v>
      </c>
      <c r="M22" s="109" t="str">
        <f>'Step 4 - Consequence Analysis'!N22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22" s="168" t="str">
        <f>'Step 4 - Consequence Analysis'!O22</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O22" s="253" t="s">
        <v>429</v>
      </c>
      <c r="P22" s="109" t="str">
        <f>'Step 4 - Consequence Analysis'!Q22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22" s="168" t="str">
        <f>'Step 4 - Consequence Analysis'!R22</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R22" s="253" t="s">
        <v>429</v>
      </c>
      <c r="S22" s="109" t="str">
        <f>'Step 4 - Consequence Analysis'!T22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22" s="168" t="str">
        <f>'Step 4 - Consequence Analysis'!U22</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U22" s="253" t="s">
        <v>429</v>
      </c>
      <c r="V22" s="109" t="str">
        <f>'Step 4 - Consequence Analysis'!W22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22" s="168" t="str">
        <f>'Step 4 - Consequence Analysis'!X22</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X22" s="253" t="s">
        <v>429</v>
      </c>
      <c r="Y22" s="109" t="str">
        <f>'Step 4 - Consequence Analysis'!Z22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22" s="168" t="str">
        <f>'Step 4 - Consequence Analysis'!AA22</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AA22" s="253" t="s">
        <v>429</v>
      </c>
      <c r="AB22" s="57"/>
      <c r="AC22" s="17"/>
      <c r="AD22" s="17"/>
      <c r="AE22" s="17"/>
      <c r="AF22" s="17"/>
      <c r="AG22" s="17"/>
      <c r="AH22" s="17"/>
      <c r="AI22" s="17"/>
    </row>
    <row r="23" spans="1:35" ht="375.75" thickBot="1">
      <c r="A23" s="417"/>
      <c r="B23" s="400"/>
      <c r="C23" s="225" t="str">
        <f>'Step 1 - System Definition'!O21</f>
        <v>Security Firewall(s)</v>
      </c>
      <c r="D23" s="109" t="str">
        <f>'Step 4 - Consequence Analysis'!E23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23" s="168" t="str">
        <f>'Step 4 - Consequence Analysis'!F23</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23" s="253" t="s">
        <v>429</v>
      </c>
      <c r="G23" s="109" t="str">
        <f>'Step 4 - Consequence Analysis'!H23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23" s="168" t="str">
        <f>'Step 4 - Consequence Analysis'!I23</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I23" s="253" t="s">
        <v>429</v>
      </c>
      <c r="J23" s="109" t="str">
        <f>'Step 4 - Consequence Analysis'!K23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23" s="168" t="str">
        <f>'Step 4 - Consequence Analysis'!L23</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L23" s="253" t="s">
        <v>429</v>
      </c>
      <c r="M23" s="109" t="str">
        <f>'Step 4 - Consequence Analysis'!N23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23" s="168" t="str">
        <f>'Step 4 - Consequence Analysis'!O23</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O23" s="253" t="s">
        <v>429</v>
      </c>
      <c r="P23" s="109" t="str">
        <f>'Step 4 - Consequence Analysis'!Q23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23" s="168" t="str">
        <f>'Step 4 - Consequence Analysis'!R23</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R23" s="253" t="s">
        <v>429</v>
      </c>
      <c r="S23" s="109" t="str">
        <f>'Step 4 - Consequence Analysis'!T23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23" s="168" t="str">
        <f>'Step 4 - Consequence Analysis'!U23</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U23" s="253" t="s">
        <v>429</v>
      </c>
      <c r="V23" s="109" t="str">
        <f>'Step 4 - Consequence Analysis'!W23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23" s="168" t="str">
        <f>'Step 4 - Consequence Analysis'!X23</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X23" s="253" t="s">
        <v>429</v>
      </c>
      <c r="Y23" s="109" t="str">
        <f>'Step 4 - Consequence Analysis'!Z23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23" s="168" t="str">
        <f>'Step 4 - Consequence Analysis'!AA23</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AA23" s="253" t="s">
        <v>429</v>
      </c>
      <c r="AB23" s="57"/>
      <c r="AC23" s="17"/>
      <c r="AD23" s="17"/>
      <c r="AE23" s="17"/>
      <c r="AF23" s="17"/>
      <c r="AG23" s="17"/>
      <c r="AH23" s="17"/>
      <c r="AI23" s="17"/>
    </row>
    <row r="24" spans="1:35" ht="375.75" thickBot="1">
      <c r="A24" s="417"/>
      <c r="B24" s="400"/>
      <c r="C24" s="225" t="str">
        <f>'Step 1 - System Definition'!O22</f>
        <v>Site Router(s)</v>
      </c>
      <c r="D24" s="109" t="str">
        <f>'Step 4 - Consequence Analysis'!E24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24" s="168" t="str">
        <f>'Step 4 - Consequence Analysis'!F24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24" s="253" t="s">
        <v>429</v>
      </c>
      <c r="G24" s="109" t="str">
        <f>'Step 4 - Consequence Analysis'!H24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24" s="168" t="str">
        <f>'Step 4 - Consequence Analysis'!I24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I24" s="253" t="s">
        <v>429</v>
      </c>
      <c r="J24" s="109" t="str">
        <f>'Step 4 - Consequence Analysis'!K24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24" s="168" t="str">
        <f>'Step 4 - Consequence Analysis'!L24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L24" s="253" t="s">
        <v>429</v>
      </c>
      <c r="M24" s="109" t="str">
        <f>'Step 4 - Consequence Analysis'!N24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24" s="168" t="str">
        <f>'Step 4 - Consequence Analysis'!O24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O24" s="253" t="s">
        <v>429</v>
      </c>
      <c r="P24" s="109" t="str">
        <f>'Step 4 - Consequence Analysis'!Q24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24" s="168" t="str">
        <f>'Step 4 - Consequence Analysis'!R24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R24" s="253" t="s">
        <v>429</v>
      </c>
      <c r="S24" s="109" t="str">
        <f>'Step 4 - Consequence Analysis'!T24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24" s="168" t="str">
        <f>'Step 4 - Consequence Analysis'!U24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U24" s="253" t="s">
        <v>429</v>
      </c>
      <c r="V24" s="109" t="str">
        <f>'Step 4 - Consequence Analysis'!W24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24" s="168" t="str">
        <f>'Step 4 - Consequence Analysis'!X24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X24" s="253" t="s">
        <v>429</v>
      </c>
      <c r="Y24" s="109" t="str">
        <f>'Step 4 - Consequence Analysis'!Z24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24" s="168" t="str">
        <f>'Step 4 - Consequence Analysis'!AA24</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AA24" s="253" t="s">
        <v>429</v>
      </c>
      <c r="AB24" s="57"/>
      <c r="AC24" s="17"/>
      <c r="AD24" s="17"/>
      <c r="AE24" s="17"/>
      <c r="AF24" s="17"/>
      <c r="AG24" s="17"/>
      <c r="AH24" s="17"/>
      <c r="AI24" s="17"/>
    </row>
    <row r="25" spans="1:35" ht="375.75" thickBot="1">
      <c r="A25" s="417"/>
      <c r="B25" s="399"/>
      <c r="C25" s="226" t="str">
        <f>'Step 1 - System Definition'!O23</f>
        <v>Cell Modem</v>
      </c>
      <c r="D25" s="110" t="str">
        <f>'Step 4 - Consequence Analysis'!E25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25" s="170" t="str">
        <f>'Step 4 - Consequence Analysis'!F25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F25" s="285" t="s">
        <v>429</v>
      </c>
      <c r="G25" s="110" t="str">
        <f>'Step 4 - Consequence Analysis'!H25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25" s="170" t="str">
        <f>'Step 4 - Consequence Analysis'!I25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I25" s="285" t="s">
        <v>429</v>
      </c>
      <c r="J25" s="110" t="str">
        <f>'Step 4 - Consequence Analysis'!K25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25" s="170" t="str">
        <f>'Step 4 - Consequence Analysis'!L25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L25" s="285" t="s">
        <v>429</v>
      </c>
      <c r="M25" s="110" t="str">
        <f>'Step 4 - Consequence Analysis'!N25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25" s="170" t="str">
        <f>'Step 4 - Consequence Analysis'!O25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O25" s="285" t="s">
        <v>429</v>
      </c>
      <c r="P25" s="110" t="str">
        <f>'Step 4 - Consequence Analysis'!Q25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25" s="170" t="str">
        <f>'Step 4 - Consequence Analysis'!R25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R25" s="285" t="s">
        <v>429</v>
      </c>
      <c r="S25" s="110" t="str">
        <f>'Step 4 - Consequence Analysis'!T25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25" s="170" t="str">
        <f>'Step 4 - Consequence Analysis'!U25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U25" s="285" t="s">
        <v>429</v>
      </c>
      <c r="V25" s="110" t="str">
        <f>'Step 4 - Consequence Analysis'!W25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25" s="170" t="str">
        <f>'Step 4 - Consequence Analysis'!X25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X25" s="285" t="s">
        <v>429</v>
      </c>
      <c r="Y25" s="110" t="str">
        <f>'Step 4 - Consequence Analysis'!Z25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25" s="170" t="str">
        <f>'Step 4 - Consequence Analysis'!AA25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
Do contractors or vendors have persistent, long-term connections to this equipment?
Are the vendors using cloud services that will have long-term persistent connections to this equipment?</v>
      </c>
      <c r="AA25" s="285" t="s">
        <v>429</v>
      </c>
      <c r="AB25" s="57"/>
      <c r="AC25" s="17"/>
      <c r="AD25" s="17"/>
      <c r="AE25" s="17"/>
      <c r="AF25" s="17"/>
      <c r="AG25" s="17"/>
      <c r="AH25" s="17"/>
      <c r="AI25" s="17"/>
    </row>
    <row r="26" spans="1:35" ht="375.75" thickBot="1">
      <c r="A26" s="417"/>
      <c r="B26" s="398" t="s">
        <v>22</v>
      </c>
      <c r="C26" s="224" t="str">
        <f>'Step 1 - System Definition'!O24</f>
        <v>Fuses(s)</v>
      </c>
      <c r="D26" s="108" t="str">
        <f>'Step 4 - Consequence Analysis'!E26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26" s="169" t="str">
        <f>'Step 4 - Consequence Analysis'!F26</f>
        <v>Not Applicable</v>
      </c>
      <c r="F26" s="253" t="s">
        <v>429</v>
      </c>
      <c r="G26" s="108" t="str">
        <f>'Step 4 - Consequence Analysis'!H26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26" s="169" t="str">
        <f>'Step 4 - Consequence Analysis'!I26</f>
        <v>Not Applicable</v>
      </c>
      <c r="I26" s="253" t="s">
        <v>429</v>
      </c>
      <c r="J26" s="108" t="str">
        <f>'Step 4 - Consequence Analysis'!K26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26" s="169" t="str">
        <f>'Step 4 - Consequence Analysis'!L26</f>
        <v>Not Applicable</v>
      </c>
      <c r="L26" s="253" t="s">
        <v>429</v>
      </c>
      <c r="M26" s="108" t="str">
        <f>'Step 4 - Consequence Analysis'!N26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26" s="169" t="str">
        <f>'Step 4 - Consequence Analysis'!O26</f>
        <v>Not Applicable</v>
      </c>
      <c r="O26" s="253" t="s">
        <v>429</v>
      </c>
      <c r="P26" s="108" t="str">
        <f>'Step 4 - Consequence Analysis'!Q26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26" s="169" t="str">
        <f>'Step 4 - Consequence Analysis'!R26</f>
        <v>Not Applicable</v>
      </c>
      <c r="R26" s="253" t="s">
        <v>429</v>
      </c>
      <c r="S26" s="108" t="str">
        <f>'Step 4 - Consequence Analysis'!T26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26" s="169" t="str">
        <f>'Step 4 - Consequence Analysis'!U26</f>
        <v>Not Applicable</v>
      </c>
      <c r="U26" s="253" t="s">
        <v>429</v>
      </c>
      <c r="V26" s="108" t="str">
        <f>'Step 4 - Consequence Analysis'!W26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26" s="169" t="str">
        <f>'Step 4 - Consequence Analysis'!X26</f>
        <v>Not Applicable</v>
      </c>
      <c r="X26" s="253" t="s">
        <v>429</v>
      </c>
      <c r="Y26" s="108" t="str">
        <f>'Step 4 - Consequence Analysis'!Z26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26" s="169" t="str">
        <f>'Step 4 - Consequence Analysis'!AA26</f>
        <v>Not Applicable</v>
      </c>
      <c r="AA26" s="253" t="s">
        <v>429</v>
      </c>
      <c r="AB26" s="57"/>
      <c r="AC26" s="17"/>
      <c r="AD26" s="17"/>
      <c r="AE26" s="17"/>
      <c r="AF26" s="17"/>
      <c r="AG26" s="17"/>
      <c r="AH26" s="17"/>
      <c r="AI26" s="17"/>
    </row>
    <row r="27" spans="1:35" ht="375.75" thickBot="1">
      <c r="A27" s="417"/>
      <c r="B27" s="400"/>
      <c r="C27" s="225" t="str">
        <f>'Step 1 - System Definition'!O25</f>
        <v>AC Circuit Breaker(s)</v>
      </c>
      <c r="D27" s="109" t="str">
        <f>'Step 4 - Consequence Analysis'!E27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27" s="168" t="str">
        <f>'Step 4 - Consequence Analysis'!F27</f>
        <v>Not Applicable</v>
      </c>
      <c r="F27" s="253" t="s">
        <v>429</v>
      </c>
      <c r="G27" s="109" t="str">
        <f>'Step 4 - Consequence Analysis'!H27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27" s="168" t="str">
        <f>'Step 4 - Consequence Analysis'!I27</f>
        <v>Not Applicable</v>
      </c>
      <c r="I27" s="253" t="s">
        <v>429</v>
      </c>
      <c r="J27" s="109" t="str">
        <f>'Step 4 - Consequence Analysis'!K27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27" s="168" t="str">
        <f>'Step 4 - Consequence Analysis'!L27</f>
        <v>Not Applicable</v>
      </c>
      <c r="L27" s="253" t="s">
        <v>429</v>
      </c>
      <c r="M27" s="109" t="str">
        <f>'Step 4 - Consequence Analysis'!N27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27" s="168" t="str">
        <f>'Step 4 - Consequence Analysis'!O27</f>
        <v>Not Applicable</v>
      </c>
      <c r="O27" s="253" t="s">
        <v>429</v>
      </c>
      <c r="P27" s="109" t="str">
        <f>'Step 4 - Consequence Analysis'!Q27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27" s="168" t="str">
        <f>'Step 4 - Consequence Analysis'!R27</f>
        <v>Not Applicable</v>
      </c>
      <c r="R27" s="253" t="s">
        <v>429</v>
      </c>
      <c r="S27" s="109" t="str">
        <f>'Step 4 - Consequence Analysis'!T27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27" s="168" t="str">
        <f>'Step 4 - Consequence Analysis'!U27</f>
        <v>Not Applicable</v>
      </c>
      <c r="U27" s="253" t="s">
        <v>429</v>
      </c>
      <c r="V27" s="109" t="str">
        <f>'Step 4 - Consequence Analysis'!W27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27" s="168" t="str">
        <f>'Step 4 - Consequence Analysis'!X27</f>
        <v>Not Applicable</v>
      </c>
      <c r="X27" s="253" t="s">
        <v>429</v>
      </c>
      <c r="Y27" s="109" t="str">
        <f>'Step 4 - Consequence Analysis'!Z27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27" s="168" t="str">
        <f>'Step 4 - Consequence Analysis'!AA27</f>
        <v>Not Applicable</v>
      </c>
      <c r="AA27" s="253" t="s">
        <v>429</v>
      </c>
      <c r="AB27" s="57"/>
      <c r="AC27" s="17"/>
      <c r="AD27" s="17"/>
      <c r="AE27" s="17"/>
      <c r="AF27" s="17"/>
      <c r="AG27" s="17"/>
      <c r="AH27" s="17"/>
      <c r="AI27" s="17"/>
    </row>
    <row r="28" spans="1:35" ht="375.75" thickBot="1">
      <c r="A28" s="417"/>
      <c r="B28" s="400"/>
      <c r="C28" s="225" t="str">
        <f>'Step 1 - System Definition'!O26</f>
        <v>Control Power Transformer</v>
      </c>
      <c r="D28" s="109" t="str">
        <f>'Step 4 - Consequence Analysis'!E28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28" s="168" t="str">
        <f>'Step 4 - Consequence Analysis'!F28</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28" s="253" t="s">
        <v>429</v>
      </c>
      <c r="G28" s="109" t="str">
        <f>'Step 4 - Consequence Analysis'!H28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28" s="168" t="str">
        <f>'Step 4 - Consequence Analysis'!I28</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28" s="253" t="s">
        <v>429</v>
      </c>
      <c r="J28" s="109" t="str">
        <f>'Step 4 - Consequence Analysis'!K28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28" s="168" t="str">
        <f>'Step 4 - Consequence Analysis'!L28</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28" s="253" t="s">
        <v>429</v>
      </c>
      <c r="M28" s="109" t="str">
        <f>'Step 4 - Consequence Analysis'!N28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28" s="168" t="str">
        <f>'Step 4 - Consequence Analysis'!O28</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28" s="253" t="s">
        <v>429</v>
      </c>
      <c r="P28" s="109" t="str">
        <f>'Step 4 - Consequence Analysis'!Q28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28" s="168" t="str">
        <f>'Step 4 - Consequence Analysis'!R28</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28" s="253" t="s">
        <v>429</v>
      </c>
      <c r="S28" s="109" t="str">
        <f>'Step 4 - Consequence Analysis'!T28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28" s="168" t="str">
        <f>'Step 4 - Consequence Analysis'!U28</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28" s="253" t="s">
        <v>429</v>
      </c>
      <c r="V28" s="109" t="str">
        <f>'Step 4 - Consequence Analysis'!W28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28" s="168" t="str">
        <f>'Step 4 - Consequence Analysis'!X28</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28" s="253" t="s">
        <v>429</v>
      </c>
      <c r="Y28" s="109" t="str">
        <f>'Step 4 - Consequence Analysis'!Z28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28" s="168" t="str">
        <f>'Step 4 - Consequence Analysis'!AA28</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28" s="253" t="s">
        <v>429</v>
      </c>
      <c r="AB28" s="57"/>
      <c r="AC28" s="17"/>
      <c r="AD28" s="17"/>
      <c r="AE28" s="17"/>
      <c r="AF28" s="17"/>
      <c r="AG28" s="17"/>
      <c r="AH28" s="17"/>
      <c r="AI28" s="17"/>
    </row>
    <row r="29" spans="1:35" ht="375.75" thickBot="1">
      <c r="A29" s="417"/>
      <c r="B29" s="400"/>
      <c r="C29" s="225" t="str">
        <f>'Step 1 - System Definition'!O27</f>
        <v>Local Power Level Transformer</v>
      </c>
      <c r="D29" s="109" t="str">
        <f>'Step 4 - Consequence Analysis'!E29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29" s="168" t="str">
        <f>'Step 4 - Consequence Analysis'!F29</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29" s="253" t="s">
        <v>429</v>
      </c>
      <c r="G29" s="109" t="str">
        <f>'Step 4 - Consequence Analysis'!H29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29" s="168" t="str">
        <f>'Step 4 - Consequence Analysis'!I29</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29" s="253" t="s">
        <v>429</v>
      </c>
      <c r="J29" s="109" t="str">
        <f>'Step 4 - Consequence Analysis'!K29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29" s="168" t="str">
        <f>'Step 4 - Consequence Analysis'!L29</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29" s="253" t="s">
        <v>429</v>
      </c>
      <c r="M29" s="109" t="str">
        <f>'Step 4 - Consequence Analysis'!N29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29" s="168" t="str">
        <f>'Step 4 - Consequence Analysis'!O29</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29" s="253" t="s">
        <v>429</v>
      </c>
      <c r="P29" s="109" t="str">
        <f>'Step 4 - Consequence Analysis'!Q29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29" s="168" t="str">
        <f>'Step 4 - Consequence Analysis'!R29</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29" s="253" t="s">
        <v>429</v>
      </c>
      <c r="S29" s="109" t="str">
        <f>'Step 4 - Consequence Analysis'!T29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29" s="168" t="str">
        <f>'Step 4 - Consequence Analysis'!U29</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29" s="253" t="s">
        <v>429</v>
      </c>
      <c r="V29" s="109" t="str">
        <f>'Step 4 - Consequence Analysis'!W29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29" s="168" t="str">
        <f>'Step 4 - Consequence Analysis'!X29</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29" s="253" t="s">
        <v>429</v>
      </c>
      <c r="Y29" s="109" t="str">
        <f>'Step 4 - Consequence Analysis'!Z29</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29" s="168" t="str">
        <f>'Step 4 - Consequence Analysis'!AA29</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29" s="253" t="s">
        <v>429</v>
      </c>
      <c r="AB29" s="57"/>
      <c r="AC29" s="17"/>
      <c r="AD29" s="17"/>
      <c r="AE29" s="17"/>
      <c r="AF29" s="17"/>
      <c r="AG29" s="17"/>
      <c r="AH29" s="17"/>
      <c r="AI29" s="17"/>
    </row>
    <row r="30" spans="1:35" ht="375.75" thickBot="1">
      <c r="A30" s="417"/>
      <c r="B30" s="400"/>
      <c r="C30" s="225" t="str">
        <f>'Step 1 - System Definition'!O28</f>
        <v>Utility Power Level Transformer</v>
      </c>
      <c r="D30" s="109" t="str">
        <f>'Step 4 - Consequence Analysis'!E30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30" s="168" t="str">
        <f>'Step 4 - Consequence Analysis'!F30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30" s="253" t="s">
        <v>429</v>
      </c>
      <c r="G30" s="109" t="str">
        <f>'Step 4 - Consequence Analysis'!H30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30" s="168" t="str">
        <f>'Step 4 - Consequence Analysis'!I30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30" s="253" t="s">
        <v>429</v>
      </c>
      <c r="J30" s="109" t="str">
        <f>'Step 4 - Consequence Analysis'!K30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30" s="168" t="str">
        <f>'Step 4 - Consequence Analysis'!L30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30" s="253" t="s">
        <v>429</v>
      </c>
      <c r="M30" s="109" t="str">
        <f>'Step 4 - Consequence Analysis'!N30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30" s="168" t="str">
        <f>'Step 4 - Consequence Analysis'!O30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30" s="253" t="s">
        <v>429</v>
      </c>
      <c r="P30" s="109" t="str">
        <f>'Step 4 - Consequence Analysis'!Q30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30" s="168" t="str">
        <f>'Step 4 - Consequence Analysis'!R30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30" s="253" t="s">
        <v>429</v>
      </c>
      <c r="S30" s="109" t="str">
        <f>'Step 4 - Consequence Analysis'!T30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30" s="168" t="str">
        <f>'Step 4 - Consequence Analysis'!U30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30" s="253" t="s">
        <v>429</v>
      </c>
      <c r="V30" s="109" t="str">
        <f>'Step 4 - Consequence Analysis'!W30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30" s="168" t="str">
        <f>'Step 4 - Consequence Analysis'!X30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30" s="253" t="s">
        <v>429</v>
      </c>
      <c r="Y30" s="109" t="str">
        <f>'Step 4 - Consequence Analysis'!Z30</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30" s="168" t="str">
        <f>'Step 4 - Consequence Analysis'!AA30</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30" s="253" t="s">
        <v>429</v>
      </c>
      <c r="AB30" s="57"/>
      <c r="AC30" s="17"/>
      <c r="AD30" s="17"/>
      <c r="AE30" s="17"/>
      <c r="AF30" s="17"/>
      <c r="AG30" s="17"/>
      <c r="AH30" s="17"/>
      <c r="AI30" s="17"/>
    </row>
    <row r="31" spans="1:35" ht="375.75" thickBot="1">
      <c r="A31" s="417"/>
      <c r="B31" s="400"/>
      <c r="C31" s="225" t="str">
        <f>'Step 1 - System Definition'!O29</f>
        <v>Local Power Level Switchgear</v>
      </c>
      <c r="D31" s="109" t="str">
        <f>'Step 4 - Consequence Analysis'!E31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31" s="168" t="str">
        <f>'Step 4 - Consequence Analysis'!F31</f>
        <v>Not Applicable</v>
      </c>
      <c r="F31" s="253" t="s">
        <v>429</v>
      </c>
      <c r="G31" s="109" t="str">
        <f>'Step 4 - Consequence Analysis'!H31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31" s="168" t="str">
        <f>'Step 4 - Consequence Analysis'!I31</f>
        <v>Not Applicable</v>
      </c>
      <c r="I31" s="253" t="s">
        <v>429</v>
      </c>
      <c r="J31" s="109" t="str">
        <f>'Step 4 - Consequence Analysis'!K31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31" s="168" t="str">
        <f>'Step 4 - Consequence Analysis'!L31</f>
        <v>Not Applicable</v>
      </c>
      <c r="L31" s="253" t="s">
        <v>429</v>
      </c>
      <c r="M31" s="109" t="str">
        <f>'Step 4 - Consequence Analysis'!N31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31" s="168" t="str">
        <f>'Step 4 - Consequence Analysis'!O31</f>
        <v>Not Applicable</v>
      </c>
      <c r="O31" s="253" t="s">
        <v>429</v>
      </c>
      <c r="P31" s="109" t="str">
        <f>'Step 4 - Consequence Analysis'!Q31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31" s="168" t="str">
        <f>'Step 4 - Consequence Analysis'!R31</f>
        <v>Not Applicable</v>
      </c>
      <c r="R31" s="253" t="s">
        <v>429</v>
      </c>
      <c r="S31" s="109" t="str">
        <f>'Step 4 - Consequence Analysis'!T31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31" s="168" t="str">
        <f>'Step 4 - Consequence Analysis'!U31</f>
        <v>Not Applicable</v>
      </c>
      <c r="U31" s="253" t="s">
        <v>429</v>
      </c>
      <c r="V31" s="109" t="str">
        <f>'Step 4 - Consequence Analysis'!W31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31" s="168" t="str">
        <f>'Step 4 - Consequence Analysis'!X31</f>
        <v>Not Applicable</v>
      </c>
      <c r="X31" s="253" t="s">
        <v>429</v>
      </c>
      <c r="Y31" s="109" t="str">
        <f>'Step 4 - Consequence Analysis'!Z31</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31" s="168" t="str">
        <f>'Step 4 - Consequence Analysis'!AA31</f>
        <v>Not Applicable</v>
      </c>
      <c r="AA31" s="253" t="s">
        <v>429</v>
      </c>
      <c r="AB31" s="57"/>
      <c r="AC31" s="17"/>
      <c r="AD31" s="17"/>
      <c r="AE31" s="17"/>
      <c r="AF31" s="17"/>
      <c r="AG31" s="17"/>
      <c r="AH31" s="17"/>
      <c r="AI31" s="17"/>
    </row>
    <row r="32" spans="1:35" ht="375.75" thickBot="1">
      <c r="A32" s="417"/>
      <c r="B32" s="400"/>
      <c r="C32" s="225" t="str">
        <f>'Step 1 - System Definition'!O30</f>
        <v>Utility Power Level Switchgear</v>
      </c>
      <c r="D32" s="109" t="str">
        <f>'Step 4 - Consequence Analysis'!E32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32" s="168" t="str">
        <f>'Step 4 - Consequence Analysis'!F32</f>
        <v>Not Applicable</v>
      </c>
      <c r="F32" s="253" t="s">
        <v>429</v>
      </c>
      <c r="G32" s="109" t="str">
        <f>'Step 4 - Consequence Analysis'!H32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32" s="168" t="str">
        <f>'Step 4 - Consequence Analysis'!I32</f>
        <v>Not Applicable</v>
      </c>
      <c r="I32" s="253" t="s">
        <v>429</v>
      </c>
      <c r="J32" s="109" t="str">
        <f>'Step 4 - Consequence Analysis'!K32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32" s="168" t="str">
        <f>'Step 4 - Consequence Analysis'!L32</f>
        <v>Not Applicable</v>
      </c>
      <c r="L32" s="253" t="s">
        <v>429</v>
      </c>
      <c r="M32" s="109" t="str">
        <f>'Step 4 - Consequence Analysis'!N32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32" s="168" t="str">
        <f>'Step 4 - Consequence Analysis'!O32</f>
        <v>Not Applicable</v>
      </c>
      <c r="O32" s="253" t="s">
        <v>429</v>
      </c>
      <c r="P32" s="109" t="str">
        <f>'Step 4 - Consequence Analysis'!Q32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32" s="168" t="str">
        <f>'Step 4 - Consequence Analysis'!R32</f>
        <v>Not Applicable</v>
      </c>
      <c r="R32" s="253" t="s">
        <v>429</v>
      </c>
      <c r="S32" s="109" t="str">
        <f>'Step 4 - Consequence Analysis'!T32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32" s="168" t="str">
        <f>'Step 4 - Consequence Analysis'!U32</f>
        <v>Not Applicable</v>
      </c>
      <c r="U32" s="253" t="s">
        <v>429</v>
      </c>
      <c r="V32" s="109" t="str">
        <f>'Step 4 - Consequence Analysis'!W32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32" s="168" t="str">
        <f>'Step 4 - Consequence Analysis'!X32</f>
        <v>Not Applicable</v>
      </c>
      <c r="X32" s="253" t="s">
        <v>429</v>
      </c>
      <c r="Y32" s="109" t="str">
        <f>'Step 4 - Consequence Analysis'!Z32</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32" s="168" t="str">
        <f>'Step 4 - Consequence Analysis'!AA32</f>
        <v>Not Applicable</v>
      </c>
      <c r="AA32" s="253" t="s">
        <v>429</v>
      </c>
      <c r="AB32" s="57"/>
      <c r="AC32" s="17"/>
      <c r="AD32" s="17"/>
      <c r="AE32" s="17"/>
      <c r="AF32" s="17"/>
      <c r="AG32" s="17"/>
      <c r="AH32" s="17"/>
      <c r="AI32" s="17"/>
    </row>
    <row r="33" spans="1:35" ht="375.75" thickBot="1">
      <c r="A33" s="417"/>
      <c r="B33" s="400"/>
      <c r="C33" s="225" t="str">
        <f>'Step 1 - System Definition'!O31</f>
        <v>Recloser</v>
      </c>
      <c r="D33" s="109" t="str">
        <f>'Step 4 - Consequence Analysis'!E33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33" s="168" t="str">
        <f>'Step 4 - Consequence Analysis'!F33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33" s="253" t="s">
        <v>429</v>
      </c>
      <c r="G33" s="109" t="str">
        <f>'Step 4 - Consequence Analysis'!H33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33" s="168" t="str">
        <f>'Step 4 - Consequence Analysis'!I33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33" s="253" t="s">
        <v>429</v>
      </c>
      <c r="J33" s="109" t="str">
        <f>'Step 4 - Consequence Analysis'!K33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33" s="168" t="str">
        <f>'Step 4 - Consequence Analysis'!L33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33" s="253" t="s">
        <v>429</v>
      </c>
      <c r="M33" s="109" t="str">
        <f>'Step 4 - Consequence Analysis'!N33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33" s="168" t="str">
        <f>'Step 4 - Consequence Analysis'!O33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33" s="253" t="s">
        <v>429</v>
      </c>
      <c r="P33" s="109" t="str">
        <f>'Step 4 - Consequence Analysis'!Q33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33" s="168" t="str">
        <f>'Step 4 - Consequence Analysis'!R33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33" s="253" t="s">
        <v>429</v>
      </c>
      <c r="S33" s="109" t="str">
        <f>'Step 4 - Consequence Analysis'!T33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33" s="168" t="str">
        <f>'Step 4 - Consequence Analysis'!U33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33" s="253" t="s">
        <v>429</v>
      </c>
      <c r="V33" s="109" t="str">
        <f>'Step 4 - Consequence Analysis'!W33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33" s="168" t="str">
        <f>'Step 4 - Consequence Analysis'!X33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33" s="253" t="s">
        <v>429</v>
      </c>
      <c r="Y33" s="109" t="str">
        <f>'Step 4 - Consequence Analysis'!Z33</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33" s="168" t="str">
        <f>'Step 4 - Consequence Analysis'!AA33</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33" s="253" t="s">
        <v>429</v>
      </c>
      <c r="AB33" s="57"/>
      <c r="AC33" s="17"/>
      <c r="AD33" s="17"/>
      <c r="AE33" s="17"/>
      <c r="AF33" s="17"/>
      <c r="AG33" s="17"/>
      <c r="AH33" s="17"/>
      <c r="AI33" s="17"/>
    </row>
    <row r="34" spans="1:35" ht="375.75" thickBot="1">
      <c r="A34" s="417"/>
      <c r="B34" s="399"/>
      <c r="C34" s="226" t="str">
        <f>'Step 1 - System Definition'!O32</f>
        <v>Protection Relay(s)</v>
      </c>
      <c r="D34" s="110" t="str">
        <f>'Step 4 - Consequence Analysis'!E34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34" s="170" t="str">
        <f>'Step 4 - Consequence Analysis'!F34</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34" s="285" t="s">
        <v>429</v>
      </c>
      <c r="G34" s="110" t="str">
        <f>'Step 4 - Consequence Analysis'!H34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34" s="170" t="str">
        <f>'Step 4 - Consequence Analysis'!I34</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34" s="285" t="s">
        <v>429</v>
      </c>
      <c r="J34" s="110" t="str">
        <f>'Step 4 - Consequence Analysis'!K34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34" s="170" t="str">
        <f>'Step 4 - Consequence Analysis'!L34</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34" s="285" t="s">
        <v>429</v>
      </c>
      <c r="M34" s="110" t="str">
        <f>'Step 4 - Consequence Analysis'!N34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34" s="170" t="str">
        <f>'Step 4 - Consequence Analysis'!O34</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34" s="285" t="s">
        <v>429</v>
      </c>
      <c r="P34" s="110" t="str">
        <f>'Step 4 - Consequence Analysis'!Q34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34" s="170" t="str">
        <f>'Step 4 - Consequence Analysis'!R34</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34" s="285" t="s">
        <v>429</v>
      </c>
      <c r="S34" s="110" t="str">
        <f>'Step 4 - Consequence Analysis'!T34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34" s="170" t="str">
        <f>'Step 4 - Consequence Analysis'!U34</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34" s="285" t="s">
        <v>429</v>
      </c>
      <c r="V34" s="110" t="str">
        <f>'Step 4 - Consequence Analysis'!W34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34" s="170" t="str">
        <f>'Step 4 - Consequence Analysis'!X34</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34" s="285" t="s">
        <v>429</v>
      </c>
      <c r="Y34" s="110" t="str">
        <f>'Step 4 - Consequence Analysis'!Z34</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34" s="170" t="str">
        <f>'Step 4 - Consequence Analysis'!AA34</f>
        <v>[IF DIGITAL FUNCTIONS ARE PRESENT]What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34" s="285" t="s">
        <v>429</v>
      </c>
      <c r="AB34" s="57"/>
      <c r="AC34" s="17"/>
      <c r="AD34" s="17"/>
      <c r="AE34" s="17"/>
      <c r="AF34" s="17"/>
      <c r="AG34" s="17"/>
      <c r="AH34" s="17"/>
      <c r="AI34" s="17"/>
    </row>
    <row r="35" spans="1:35" ht="375.75" thickBot="1">
      <c r="A35" s="418"/>
      <c r="B35" s="398" t="s">
        <v>365</v>
      </c>
      <c r="C35" s="64" t="str">
        <f>'Step 1 - System Definition'!O33</f>
        <v>Generation Meter</v>
      </c>
      <c r="D35" s="255" t="str">
        <f>'Step 4 - Consequence Analysis'!E35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35" s="78" t="str">
        <f>'Step 4 - Consequence Analysis'!F35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35" s="258" t="s">
        <v>429</v>
      </c>
      <c r="G35" s="255" t="str">
        <f>'Step 4 - Consequence Analysis'!H35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35" s="78" t="str">
        <f>'Step 4 - Consequence Analysis'!I35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35" s="258" t="s">
        <v>429</v>
      </c>
      <c r="J35" s="255" t="str">
        <f>'Step 4 - Consequence Analysis'!K35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35" s="78" t="str">
        <f>'Step 4 - Consequence Analysis'!L35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35" s="258" t="s">
        <v>429</v>
      </c>
      <c r="M35" s="255" t="str">
        <f>'Step 4 - Consequence Analysis'!N35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35" s="78" t="str">
        <f>'Step 4 - Consequence Analysis'!O35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35" s="258" t="s">
        <v>429</v>
      </c>
      <c r="P35" s="255" t="str">
        <f>'Step 4 - Consequence Analysis'!Q35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35" s="78" t="str">
        <f>'Step 4 - Consequence Analysis'!R35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35" s="258" t="s">
        <v>429</v>
      </c>
      <c r="S35" s="255" t="str">
        <f>'Step 4 - Consequence Analysis'!T35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35" s="78" t="str">
        <f>'Step 4 - Consequence Analysis'!U35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35" s="258" t="s">
        <v>429</v>
      </c>
      <c r="V35" s="255" t="str">
        <f>'Step 4 - Consequence Analysis'!W35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35" s="78" t="str">
        <f>'Step 4 - Consequence Analysis'!X35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35" s="258" t="s">
        <v>429</v>
      </c>
      <c r="Y35" s="255" t="str">
        <f>'Step 4 - Consequence Analysis'!Z35</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35" s="78" t="str">
        <f>'Step 4 - Consequence Analysis'!AA35</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35" s="258" t="s">
        <v>429</v>
      </c>
      <c r="AB35" s="99"/>
      <c r="AC35" s="17"/>
      <c r="AD35" s="17"/>
      <c r="AE35" s="17"/>
      <c r="AF35" s="17"/>
      <c r="AG35" s="17"/>
      <c r="AH35" s="17"/>
      <c r="AI35" s="17"/>
    </row>
    <row r="36" spans="1:35" ht="375.75" thickBot="1">
      <c r="A36" s="418"/>
      <c r="B36" s="400"/>
      <c r="C36" s="65" t="str">
        <f>'Step 1 - System Definition'!O34</f>
        <v>Revenue-Grade Meter</v>
      </c>
      <c r="D36" s="259" t="str">
        <f>'Step 4 - Consequence Analysis'!E36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36" s="77" t="str">
        <f>'Step 4 - Consequence Analysis'!F36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36" s="258" t="s">
        <v>429</v>
      </c>
      <c r="G36" s="259" t="str">
        <f>'Step 4 - Consequence Analysis'!H36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36" s="77" t="str">
        <f>'Step 4 - Consequence Analysis'!I36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36" s="258" t="s">
        <v>429</v>
      </c>
      <c r="J36" s="259" t="str">
        <f>'Step 4 - Consequence Analysis'!K36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36" s="77" t="str">
        <f>'Step 4 - Consequence Analysis'!L36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36" s="258" t="s">
        <v>429</v>
      </c>
      <c r="M36" s="259" t="str">
        <f>'Step 4 - Consequence Analysis'!N36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36" s="77" t="str">
        <f>'Step 4 - Consequence Analysis'!O36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36" s="258" t="s">
        <v>429</v>
      </c>
      <c r="P36" s="259" t="str">
        <f>'Step 4 - Consequence Analysis'!Q36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36" s="77" t="str">
        <f>'Step 4 - Consequence Analysis'!R36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36" s="258" t="s">
        <v>429</v>
      </c>
      <c r="S36" s="259" t="str">
        <f>'Step 4 - Consequence Analysis'!T36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36" s="77" t="str">
        <f>'Step 4 - Consequence Analysis'!U36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36" s="258" t="s">
        <v>429</v>
      </c>
      <c r="V36" s="259" t="str">
        <f>'Step 4 - Consequence Analysis'!W36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36" s="77" t="str">
        <f>'Step 4 - Consequence Analysis'!X36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36" s="258" t="s">
        <v>429</v>
      </c>
      <c r="Y36" s="259" t="str">
        <f>'Step 4 - Consequence Analysis'!Z36</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36" s="77" t="str">
        <f>'Step 4 - Consequence Analysis'!AA36</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36" s="258" t="s">
        <v>429</v>
      </c>
      <c r="AB36" s="17"/>
      <c r="AC36" s="17"/>
      <c r="AD36" s="17"/>
      <c r="AE36" s="17"/>
      <c r="AF36" s="17"/>
      <c r="AG36" s="17"/>
      <c r="AH36" s="17"/>
      <c r="AI36" s="17"/>
    </row>
    <row r="37" spans="1:35" ht="375.75" thickBot="1">
      <c r="A37" s="418"/>
      <c r="B37" s="400"/>
      <c r="C37" s="65" t="str">
        <f>'Step 1 - System Definition'!O35</f>
        <v>Other Energy Source #1</v>
      </c>
      <c r="D37" s="259" t="str">
        <f>'Step 4 - Consequence Analysis'!E37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37" s="77" t="str">
        <f>'Step 4 - Consequence Analysis'!F37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37" s="258" t="s">
        <v>429</v>
      </c>
      <c r="G37" s="259" t="str">
        <f>'Step 4 - Consequence Analysis'!H37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37" s="77" t="str">
        <f>'Step 4 - Consequence Analysis'!I37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37" s="258" t="s">
        <v>429</v>
      </c>
      <c r="J37" s="259" t="str">
        <f>'Step 4 - Consequence Analysis'!K37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37" s="77" t="str">
        <f>'Step 4 - Consequence Analysis'!L37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37" s="258" t="s">
        <v>429</v>
      </c>
      <c r="M37" s="259" t="str">
        <f>'Step 4 - Consequence Analysis'!N37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37" s="77" t="str">
        <f>'Step 4 - Consequence Analysis'!O37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37" s="258" t="s">
        <v>429</v>
      </c>
      <c r="P37" s="259" t="str">
        <f>'Step 4 - Consequence Analysis'!Q37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37" s="77" t="str">
        <f>'Step 4 - Consequence Analysis'!R37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37" s="258" t="s">
        <v>429</v>
      </c>
      <c r="S37" s="259" t="str">
        <f>'Step 4 - Consequence Analysis'!T37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37" s="77" t="str">
        <f>'Step 4 - Consequence Analysis'!U37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37" s="258" t="s">
        <v>429</v>
      </c>
      <c r="V37" s="259" t="str">
        <f>'Step 4 - Consequence Analysis'!W37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37" s="77" t="str">
        <f>'Step 4 - Consequence Analysis'!X37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37" s="258" t="s">
        <v>429</v>
      </c>
      <c r="Y37" s="259" t="str">
        <f>'Step 4 - Consequence Analysis'!Z37</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37" s="77" t="str">
        <f>'Step 4 - Consequence Analysis'!AA37</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37" s="258" t="s">
        <v>429</v>
      </c>
      <c r="AB37" s="17"/>
      <c r="AC37" s="17"/>
      <c r="AD37" s="17"/>
      <c r="AE37" s="17"/>
      <c r="AF37" s="17"/>
      <c r="AG37" s="17"/>
      <c r="AH37" s="17"/>
      <c r="AI37" s="17"/>
    </row>
    <row r="38" spans="1:35" ht="375.75" thickBot="1">
      <c r="A38" s="418"/>
      <c r="B38" s="399"/>
      <c r="C38" s="66" t="str">
        <f>'Step 1 - System Definition'!O36</f>
        <v>Other Energy Source #2</v>
      </c>
      <c r="D38" s="262" t="str">
        <f>'Step 4 - Consequence Analysis'!E38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E38" s="98" t="str">
        <f>'Step 4 - Consequence Analysis'!F38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F38" s="289" t="s">
        <v>429</v>
      </c>
      <c r="G38" s="262" t="str">
        <f>'Step 4 - Consequence Analysis'!H38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H38" s="98" t="str">
        <f>'Step 4 - Consequence Analysis'!I38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I38" s="289" t="s">
        <v>429</v>
      </c>
      <c r="J38" s="262" t="str">
        <f>'Step 4 - Consequence Analysis'!K38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K38" s="98" t="str">
        <f>'Step 4 - Consequence Analysis'!L38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L38" s="289" t="s">
        <v>429</v>
      </c>
      <c r="M38" s="262" t="str">
        <f>'Step 4 - Consequence Analysis'!N38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N38" s="98" t="str">
        <f>'Step 4 - Consequence Analysis'!O38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O38" s="289" t="s">
        <v>429</v>
      </c>
      <c r="P38" s="262" t="str">
        <f>'Step 4 - Consequence Analysis'!Q38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Q38" s="98" t="str">
        <f>'Step 4 - Consequence Analysis'!R38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R38" s="289" t="s">
        <v>429</v>
      </c>
      <c r="S38" s="262" t="str">
        <f>'Step 4 - Consequence Analysis'!T38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T38" s="98" t="str">
        <f>'Step 4 - Consequence Analysis'!U38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U38" s="289" t="s">
        <v>429</v>
      </c>
      <c r="V38" s="262" t="str">
        <f>'Step 4 - Consequence Analysis'!W38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W38" s="98" t="str">
        <f>'Step 4 - Consequence Analysis'!X38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X38" s="289" t="s">
        <v>429</v>
      </c>
      <c r="Y38" s="262" t="str">
        <f>'Step 4 - Consequence Analysis'!Z38</f>
        <v>What are the limits of acceptable degradation for these parameters and the enabling function(s)?
What deviations from expected system states and anomalies might be initial indicators of consequence?
How might loss or instability in this equipment or the connectivity between system elements/parameters lead to consequence?
How would a failure of this equipment affect the service?
What potential cascading failures may need to be accounted for?</v>
      </c>
      <c r="Z38" s="98" t="str">
        <f>'Step 4 - Consequence Analysis'!AA38</f>
        <v>What would a cyber attack on this equipment require? What systems/equipment would an adversary need to access to create the specific effect? How might an adversary need to traverse systems and subsystems in order to get access to this equipment?
What precursor events could occur leading up to consequence? How might adverse consequences manifest within this equipment, as conceptualized?
How might loss or instability in this equipment or the connectivity to other equipment lead to  consequence?</v>
      </c>
      <c r="AA38" s="289" t="s">
        <v>429</v>
      </c>
      <c r="AB38" s="17"/>
      <c r="AC38" s="17"/>
      <c r="AD38" s="17"/>
      <c r="AE38" s="17"/>
      <c r="AF38" s="17"/>
      <c r="AG38" s="17"/>
      <c r="AH38" s="17"/>
      <c r="AI38" s="17"/>
    </row>
  </sheetData>
  <mergeCells count="21">
    <mergeCell ref="B2:C2"/>
    <mergeCell ref="A4:A38"/>
    <mergeCell ref="B4:B6"/>
    <mergeCell ref="B7:B9"/>
    <mergeCell ref="B10:B13"/>
    <mergeCell ref="B15:B16"/>
    <mergeCell ref="B17:B20"/>
    <mergeCell ref="B21:B25"/>
    <mergeCell ref="B26:B34"/>
    <mergeCell ref="B35:B38"/>
    <mergeCell ref="AC4:AI6"/>
    <mergeCell ref="D1:AA1"/>
    <mergeCell ref="AB1:AB2"/>
    <mergeCell ref="D2:F2"/>
    <mergeCell ref="G2:I2"/>
    <mergeCell ref="J2:L2"/>
    <mergeCell ref="M2:O2"/>
    <mergeCell ref="P2:R2"/>
    <mergeCell ref="S2:U2"/>
    <mergeCell ref="V2:X2"/>
    <mergeCell ref="Y2:AA2"/>
  </mergeCells>
  <conditionalFormatting sqref="D4:E38 G4:H38 J4:K38 M4:N38 P4:Q38 S4:T38 V4:W38 Y4:Z38">
    <cfRule type="containsText" dxfId="19" priority="83" operator="containsText" text="TRUE">
      <formula>NOT(ISERROR(SEARCH("TRUE",D4)))</formula>
    </cfRule>
    <cfRule type="containsText" dxfId="18" priority="84" operator="containsText" text="FALSE">
      <formula>NOT(ISERROR(SEARCH("FALSE",D4)))</formula>
    </cfRule>
  </conditionalFormatting>
  <conditionalFormatting sqref="F4:F38">
    <cfRule type="containsText" dxfId="17" priority="15" operator="containsText" text="TRUE">
      <formula>NOT(ISERROR(SEARCH("TRUE",F4)))</formula>
    </cfRule>
    <cfRule type="containsText" dxfId="16" priority="16" operator="containsText" text="FALSE">
      <formula>NOT(ISERROR(SEARCH("FALSE",F4)))</formula>
    </cfRule>
  </conditionalFormatting>
  <conditionalFormatting sqref="I4:I38">
    <cfRule type="containsText" dxfId="15" priority="13" operator="containsText" text="TRUE">
      <formula>NOT(ISERROR(SEARCH("TRUE",I4)))</formula>
    </cfRule>
    <cfRule type="containsText" dxfId="14" priority="14" operator="containsText" text="FALSE">
      <formula>NOT(ISERROR(SEARCH("FALSE",I4)))</formula>
    </cfRule>
  </conditionalFormatting>
  <conditionalFormatting sqref="L4:L38">
    <cfRule type="containsText" dxfId="13" priority="11" operator="containsText" text="TRUE">
      <formula>NOT(ISERROR(SEARCH("TRUE",L4)))</formula>
    </cfRule>
    <cfRule type="containsText" dxfId="12" priority="12" operator="containsText" text="FALSE">
      <formula>NOT(ISERROR(SEARCH("FALSE",L4)))</formula>
    </cfRule>
  </conditionalFormatting>
  <conditionalFormatting sqref="O4:O38">
    <cfRule type="containsText" dxfId="11" priority="9" operator="containsText" text="TRUE">
      <formula>NOT(ISERROR(SEARCH("TRUE",O4)))</formula>
    </cfRule>
    <cfRule type="containsText" dxfId="10" priority="10" operator="containsText" text="FALSE">
      <formula>NOT(ISERROR(SEARCH("FALSE",O4)))</formula>
    </cfRule>
  </conditionalFormatting>
  <conditionalFormatting sqref="R4:R38">
    <cfRule type="containsText" dxfId="9" priority="7" operator="containsText" text="TRUE">
      <formula>NOT(ISERROR(SEARCH("TRUE",R4)))</formula>
    </cfRule>
    <cfRule type="containsText" dxfId="8" priority="8" operator="containsText" text="FALSE">
      <formula>NOT(ISERROR(SEARCH("FALSE",R4)))</formula>
    </cfRule>
  </conditionalFormatting>
  <conditionalFormatting sqref="U4:U38">
    <cfRule type="containsText" dxfId="7" priority="5" operator="containsText" text="TRUE">
      <formula>NOT(ISERROR(SEARCH("TRUE",U4)))</formula>
    </cfRule>
    <cfRule type="containsText" dxfId="6" priority="6" operator="containsText" text="FALSE">
      <formula>NOT(ISERROR(SEARCH("FALSE",U4)))</formula>
    </cfRule>
  </conditionalFormatting>
  <conditionalFormatting sqref="X4:X38">
    <cfRule type="containsText" dxfId="5" priority="3" operator="containsText" text="TRUE">
      <formula>NOT(ISERROR(SEARCH("TRUE",X4)))</formula>
    </cfRule>
    <cfRule type="containsText" dxfId="4" priority="4" operator="containsText" text="FALSE">
      <formula>NOT(ISERROR(SEARCH("FALSE",X4)))</formula>
    </cfRule>
  </conditionalFormatting>
  <conditionalFormatting sqref="AA4:AA38">
    <cfRule type="containsText" dxfId="3" priority="1" operator="containsText" text="TRUE">
      <formula>NOT(ISERROR(SEARCH("TRUE",AA4)))</formula>
    </cfRule>
    <cfRule type="containsText" dxfId="2" priority="2" operator="containsText" text="FALSE">
      <formula>NOT(ISERROR(SEARCH("FALSE",AA4)))</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3333BC-CACC-4DA7-8348-1F821AF99B2A}">
  <sheetPr codeName="Sheet6"/>
  <dimension ref="A1:X449"/>
  <sheetViews>
    <sheetView tabSelected="1" workbookViewId="0">
      <pane xSplit="3" ySplit="2" topLeftCell="D377" activePane="bottomRight" state="frozen"/>
      <selection pane="topRight" activeCell="D1" sqref="D1"/>
      <selection pane="bottomLeft" activeCell="A2" sqref="A2"/>
      <selection pane="bottomRight" activeCell="D392" sqref="D392:K398"/>
    </sheetView>
  </sheetViews>
  <sheetFormatPr defaultRowHeight="15"/>
  <cols>
    <col min="1" max="2" width="9.140625" style="1"/>
    <col min="3" max="11" width="13.85546875" style="1" customWidth="1"/>
    <col min="12" max="12" width="4" style="114" bestFit="1" customWidth="1"/>
    <col min="13" max="13" width="9" style="115" bestFit="1" customWidth="1"/>
    <col min="14" max="14" width="12.7109375" style="115" bestFit="1" customWidth="1"/>
    <col min="15" max="15" width="18.85546875" style="117" bestFit="1" customWidth="1"/>
    <col min="16" max="16" width="181.42578125" style="116" customWidth="1"/>
    <col min="17" max="16384" width="9.140625" style="1"/>
  </cols>
  <sheetData>
    <row r="1" spans="1:24" ht="15.75" thickBot="1">
      <c r="A1" s="41"/>
      <c r="B1" s="41"/>
      <c r="C1" s="41"/>
      <c r="D1" s="355" t="s">
        <v>431</v>
      </c>
      <c r="E1" s="355"/>
      <c r="F1" s="355"/>
      <c r="G1" s="355"/>
      <c r="H1" s="355"/>
      <c r="I1" s="355"/>
      <c r="J1" s="355"/>
      <c r="K1" s="231"/>
      <c r="L1" s="338" t="s">
        <v>63</v>
      </c>
      <c r="M1" s="338" t="s">
        <v>115</v>
      </c>
      <c r="N1" s="338" t="s">
        <v>282</v>
      </c>
      <c r="O1" s="340" t="s">
        <v>116</v>
      </c>
      <c r="P1" s="340" t="s">
        <v>117</v>
      </c>
    </row>
    <row r="2" spans="1:24" ht="45.75" thickBot="1">
      <c r="A2" s="111" t="s">
        <v>248</v>
      </c>
      <c r="B2" s="107"/>
      <c r="C2" s="113"/>
      <c r="D2" s="27" t="s">
        <v>36</v>
      </c>
      <c r="E2" s="28" t="s">
        <v>37</v>
      </c>
      <c r="F2" s="29" t="s">
        <v>38</v>
      </c>
      <c r="G2" s="28" t="s">
        <v>39</v>
      </c>
      <c r="H2" s="29" t="s">
        <v>40</v>
      </c>
      <c r="I2" s="28" t="s">
        <v>41</v>
      </c>
      <c r="J2" s="29" t="s">
        <v>42</v>
      </c>
      <c r="K2" s="29" t="s">
        <v>43</v>
      </c>
      <c r="L2" s="481"/>
      <c r="M2" s="481"/>
      <c r="N2" s="481"/>
      <c r="O2" s="363"/>
      <c r="P2" s="363"/>
      <c r="R2" s="67" t="s">
        <v>171</v>
      </c>
    </row>
    <row r="3" spans="1:24" ht="30">
      <c r="A3" s="119"/>
      <c r="B3" s="449" t="s">
        <v>332</v>
      </c>
      <c r="C3" s="452" t="s">
        <v>352</v>
      </c>
      <c r="D3" s="460"/>
      <c r="E3" s="457"/>
      <c r="F3" s="457"/>
      <c r="G3" s="457"/>
      <c r="H3" s="457"/>
      <c r="I3" s="457"/>
      <c r="J3" s="457"/>
      <c r="K3" s="457"/>
      <c r="L3" s="149">
        <v>1</v>
      </c>
      <c r="M3" s="131" t="s">
        <v>28</v>
      </c>
      <c r="N3" s="134" t="s">
        <v>283</v>
      </c>
      <c r="O3" s="135" t="s">
        <v>143</v>
      </c>
      <c r="P3" s="120" t="s">
        <v>144</v>
      </c>
      <c r="R3" s="437" t="s">
        <v>432</v>
      </c>
      <c r="S3" s="438"/>
      <c r="T3" s="438"/>
      <c r="U3" s="438"/>
      <c r="V3" s="438"/>
      <c r="W3" s="438"/>
      <c r="X3" s="439"/>
    </row>
    <row r="4" spans="1:24">
      <c r="A4" s="119"/>
      <c r="B4" s="450"/>
      <c r="C4" s="453"/>
      <c r="D4" s="461"/>
      <c r="E4" s="458"/>
      <c r="F4" s="458"/>
      <c r="G4" s="458"/>
      <c r="H4" s="458"/>
      <c r="I4" s="458"/>
      <c r="J4" s="458"/>
      <c r="K4" s="458"/>
      <c r="L4" s="157">
        <v>2</v>
      </c>
      <c r="M4" s="129" t="s">
        <v>28</v>
      </c>
      <c r="N4" s="125" t="s">
        <v>284</v>
      </c>
      <c r="O4" s="158" t="s">
        <v>284</v>
      </c>
      <c r="P4" s="159" t="s">
        <v>119</v>
      </c>
      <c r="R4" s="440"/>
      <c r="S4" s="441"/>
      <c r="T4" s="441"/>
      <c r="U4" s="441"/>
      <c r="V4" s="441"/>
      <c r="W4" s="441"/>
      <c r="X4" s="442"/>
    </row>
    <row r="5" spans="1:24">
      <c r="A5" s="119"/>
      <c r="B5" s="450"/>
      <c r="C5" s="453"/>
      <c r="D5" s="461"/>
      <c r="E5" s="458"/>
      <c r="F5" s="458"/>
      <c r="G5" s="458"/>
      <c r="H5" s="458"/>
      <c r="I5" s="458"/>
      <c r="J5" s="458"/>
      <c r="K5" s="458"/>
      <c r="L5" s="150">
        <v>3</v>
      </c>
      <c r="M5" s="123" t="s">
        <v>28</v>
      </c>
      <c r="N5" s="125" t="s">
        <v>284</v>
      </c>
      <c r="O5" s="124" t="s">
        <v>284</v>
      </c>
      <c r="P5" s="121" t="s">
        <v>333</v>
      </c>
      <c r="R5" s="440"/>
      <c r="S5" s="441"/>
      <c r="T5" s="441"/>
      <c r="U5" s="441"/>
      <c r="V5" s="441"/>
      <c r="W5" s="441"/>
      <c r="X5" s="442"/>
    </row>
    <row r="6" spans="1:24" ht="15.75" thickBot="1">
      <c r="A6" s="119"/>
      <c r="B6" s="450"/>
      <c r="C6" s="454"/>
      <c r="D6" s="462"/>
      <c r="E6" s="459"/>
      <c r="F6" s="459"/>
      <c r="G6" s="459"/>
      <c r="H6" s="459"/>
      <c r="I6" s="459"/>
      <c r="J6" s="459"/>
      <c r="K6" s="459"/>
      <c r="L6" s="151">
        <v>4</v>
      </c>
      <c r="M6" s="132" t="s">
        <v>28</v>
      </c>
      <c r="N6" s="138" t="s">
        <v>284</v>
      </c>
      <c r="O6" s="133" t="s">
        <v>284</v>
      </c>
      <c r="P6" s="122" t="s">
        <v>121</v>
      </c>
      <c r="R6" s="440"/>
      <c r="S6" s="441"/>
      <c r="T6" s="441"/>
      <c r="U6" s="441"/>
      <c r="V6" s="441"/>
      <c r="W6" s="441"/>
      <c r="X6" s="442"/>
    </row>
    <row r="7" spans="1:24" ht="45">
      <c r="A7" s="119"/>
      <c r="B7" s="450"/>
      <c r="C7" s="452" t="s">
        <v>355</v>
      </c>
      <c r="D7" s="460"/>
      <c r="E7" s="457"/>
      <c r="F7" s="457"/>
      <c r="G7" s="457"/>
      <c r="H7" s="457"/>
      <c r="I7" s="457"/>
      <c r="J7" s="457"/>
      <c r="K7" s="457"/>
      <c r="L7" s="149">
        <v>5</v>
      </c>
      <c r="M7" s="47" t="s">
        <v>28</v>
      </c>
      <c r="N7" s="47" t="s">
        <v>283</v>
      </c>
      <c r="O7" s="135" t="s">
        <v>145</v>
      </c>
      <c r="P7" s="120" t="s">
        <v>146</v>
      </c>
      <c r="R7" s="440"/>
      <c r="S7" s="441"/>
      <c r="T7" s="441"/>
      <c r="U7" s="441"/>
      <c r="V7" s="441"/>
      <c r="W7" s="441"/>
      <c r="X7" s="442"/>
    </row>
    <row r="8" spans="1:24" ht="45">
      <c r="A8" s="119"/>
      <c r="B8" s="450"/>
      <c r="C8" s="453"/>
      <c r="D8" s="461"/>
      <c r="E8" s="458"/>
      <c r="F8" s="458"/>
      <c r="G8" s="458"/>
      <c r="H8" s="458"/>
      <c r="I8" s="458"/>
      <c r="J8" s="458"/>
      <c r="K8" s="458"/>
      <c r="L8" s="150">
        <v>6</v>
      </c>
      <c r="M8" s="125" t="s">
        <v>28</v>
      </c>
      <c r="N8" s="125" t="s">
        <v>283</v>
      </c>
      <c r="O8" s="126" t="s">
        <v>145</v>
      </c>
      <c r="P8" s="121" t="s">
        <v>147</v>
      </c>
      <c r="R8" s="440"/>
      <c r="S8" s="441"/>
      <c r="T8" s="441"/>
      <c r="U8" s="441"/>
      <c r="V8" s="441"/>
      <c r="W8" s="441"/>
      <c r="X8" s="442"/>
    </row>
    <row r="9" spans="1:24">
      <c r="A9" s="119"/>
      <c r="B9" s="450"/>
      <c r="C9" s="453"/>
      <c r="D9" s="461"/>
      <c r="E9" s="458"/>
      <c r="F9" s="458"/>
      <c r="G9" s="458"/>
      <c r="H9" s="458"/>
      <c r="I9" s="458"/>
      <c r="J9" s="458"/>
      <c r="K9" s="458"/>
      <c r="L9" s="150">
        <v>7</v>
      </c>
      <c r="M9" s="125" t="s">
        <v>28</v>
      </c>
      <c r="N9" s="125" t="s">
        <v>283</v>
      </c>
      <c r="O9" s="126" t="s">
        <v>145</v>
      </c>
      <c r="P9" s="121" t="s">
        <v>148</v>
      </c>
      <c r="R9" s="440"/>
      <c r="S9" s="441"/>
      <c r="T9" s="441"/>
      <c r="U9" s="441"/>
      <c r="V9" s="441"/>
      <c r="W9" s="441"/>
      <c r="X9" s="442"/>
    </row>
    <row r="10" spans="1:24">
      <c r="A10" s="119"/>
      <c r="B10" s="450"/>
      <c r="C10" s="453"/>
      <c r="D10" s="461"/>
      <c r="E10" s="458"/>
      <c r="F10" s="458"/>
      <c r="G10" s="458"/>
      <c r="H10" s="458"/>
      <c r="I10" s="458"/>
      <c r="J10" s="458"/>
      <c r="K10" s="458"/>
      <c r="L10" s="157">
        <v>8</v>
      </c>
      <c r="M10" s="125" t="s">
        <v>28</v>
      </c>
      <c r="N10" s="125" t="s">
        <v>283</v>
      </c>
      <c r="O10" s="126" t="s">
        <v>145</v>
      </c>
      <c r="P10" s="121" t="s">
        <v>149</v>
      </c>
      <c r="R10" s="440"/>
      <c r="S10" s="441"/>
      <c r="T10" s="441"/>
      <c r="U10" s="441"/>
      <c r="V10" s="441"/>
      <c r="W10" s="441"/>
      <c r="X10" s="442"/>
    </row>
    <row r="11" spans="1:24">
      <c r="A11" s="119"/>
      <c r="B11" s="450"/>
      <c r="C11" s="453"/>
      <c r="D11" s="461"/>
      <c r="E11" s="458"/>
      <c r="F11" s="458"/>
      <c r="G11" s="458"/>
      <c r="H11" s="458"/>
      <c r="I11" s="458"/>
      <c r="J11" s="458"/>
      <c r="K11" s="458"/>
      <c r="L11" s="150">
        <v>9</v>
      </c>
      <c r="M11" s="125" t="s">
        <v>28</v>
      </c>
      <c r="N11" s="125" t="s">
        <v>283</v>
      </c>
      <c r="O11" s="126" t="s">
        <v>145</v>
      </c>
      <c r="P11" s="121" t="s">
        <v>150</v>
      </c>
      <c r="R11" s="440"/>
      <c r="S11" s="441"/>
      <c r="T11" s="441"/>
      <c r="U11" s="441"/>
      <c r="V11" s="441"/>
      <c r="W11" s="441"/>
      <c r="X11" s="442"/>
    </row>
    <row r="12" spans="1:24">
      <c r="A12" s="119"/>
      <c r="B12" s="450"/>
      <c r="C12" s="453"/>
      <c r="D12" s="461"/>
      <c r="E12" s="458"/>
      <c r="F12" s="458"/>
      <c r="G12" s="458"/>
      <c r="H12" s="458"/>
      <c r="I12" s="458"/>
      <c r="J12" s="458"/>
      <c r="K12" s="458"/>
      <c r="L12" s="150">
        <v>10</v>
      </c>
      <c r="M12" s="125" t="s">
        <v>28</v>
      </c>
      <c r="N12" s="125" t="s">
        <v>283</v>
      </c>
      <c r="O12" s="126" t="s">
        <v>145</v>
      </c>
      <c r="P12" s="121" t="s">
        <v>151</v>
      </c>
      <c r="R12" s="440"/>
      <c r="S12" s="441"/>
      <c r="T12" s="441"/>
      <c r="U12" s="441"/>
      <c r="V12" s="441"/>
      <c r="W12" s="441"/>
      <c r="X12" s="442"/>
    </row>
    <row r="13" spans="1:24">
      <c r="A13" s="119"/>
      <c r="B13" s="450"/>
      <c r="C13" s="453"/>
      <c r="D13" s="461"/>
      <c r="E13" s="458"/>
      <c r="F13" s="458"/>
      <c r="G13" s="458"/>
      <c r="H13" s="458"/>
      <c r="I13" s="458"/>
      <c r="J13" s="458"/>
      <c r="K13" s="458"/>
      <c r="L13" s="157">
        <v>11</v>
      </c>
      <c r="M13" s="125" t="s">
        <v>28</v>
      </c>
      <c r="N13" s="125" t="s">
        <v>283</v>
      </c>
      <c r="O13" s="126" t="s">
        <v>145</v>
      </c>
      <c r="P13" s="121" t="s">
        <v>152</v>
      </c>
      <c r="R13" s="440"/>
      <c r="S13" s="441"/>
      <c r="T13" s="441"/>
      <c r="U13" s="441"/>
      <c r="V13" s="441"/>
      <c r="W13" s="441"/>
      <c r="X13" s="442"/>
    </row>
    <row r="14" spans="1:24">
      <c r="A14" s="119"/>
      <c r="B14" s="450"/>
      <c r="C14" s="453"/>
      <c r="D14" s="461"/>
      <c r="E14" s="458"/>
      <c r="F14" s="458"/>
      <c r="G14" s="458"/>
      <c r="H14" s="458"/>
      <c r="I14" s="458"/>
      <c r="J14" s="458"/>
      <c r="K14" s="458"/>
      <c r="L14" s="150">
        <v>12</v>
      </c>
      <c r="M14" s="125" t="s">
        <v>28</v>
      </c>
      <c r="N14" s="125" t="s">
        <v>283</v>
      </c>
      <c r="O14" s="126" t="s">
        <v>145</v>
      </c>
      <c r="P14" s="121" t="s">
        <v>153</v>
      </c>
      <c r="R14" s="440"/>
      <c r="S14" s="441"/>
      <c r="T14" s="441"/>
      <c r="U14" s="441"/>
      <c r="V14" s="441"/>
      <c r="W14" s="441"/>
      <c r="X14" s="442"/>
    </row>
    <row r="15" spans="1:24" ht="24">
      <c r="A15" s="119"/>
      <c r="B15" s="450"/>
      <c r="C15" s="453"/>
      <c r="D15" s="461"/>
      <c r="E15" s="458"/>
      <c r="F15" s="458"/>
      <c r="G15" s="458"/>
      <c r="H15" s="458"/>
      <c r="I15" s="458"/>
      <c r="J15" s="458"/>
      <c r="K15" s="458"/>
      <c r="L15" s="150">
        <v>13</v>
      </c>
      <c r="M15" s="129" t="s">
        <v>28</v>
      </c>
      <c r="N15" s="125" t="s">
        <v>283</v>
      </c>
      <c r="O15" s="126" t="s">
        <v>132</v>
      </c>
      <c r="P15" s="121" t="s">
        <v>140</v>
      </c>
      <c r="R15" s="440"/>
      <c r="S15" s="441"/>
      <c r="T15" s="441"/>
      <c r="U15" s="441"/>
      <c r="V15" s="441"/>
      <c r="W15" s="441"/>
      <c r="X15" s="442"/>
    </row>
    <row r="16" spans="1:24" ht="24">
      <c r="A16" s="119"/>
      <c r="B16" s="450"/>
      <c r="C16" s="453"/>
      <c r="D16" s="461"/>
      <c r="E16" s="458"/>
      <c r="F16" s="458"/>
      <c r="G16" s="458"/>
      <c r="H16" s="458"/>
      <c r="I16" s="458"/>
      <c r="J16" s="458"/>
      <c r="K16" s="458"/>
      <c r="L16" s="157">
        <v>14</v>
      </c>
      <c r="M16" s="129" t="s">
        <v>28</v>
      </c>
      <c r="N16" s="125" t="s">
        <v>283</v>
      </c>
      <c r="O16" s="126" t="s">
        <v>132</v>
      </c>
      <c r="P16" s="121" t="s">
        <v>141</v>
      </c>
      <c r="R16" s="440"/>
      <c r="S16" s="441"/>
      <c r="T16" s="441"/>
      <c r="U16" s="441"/>
      <c r="V16" s="441"/>
      <c r="W16" s="441"/>
      <c r="X16" s="442"/>
    </row>
    <row r="17" spans="1:24" ht="24">
      <c r="A17" s="119"/>
      <c r="B17" s="450"/>
      <c r="C17" s="453"/>
      <c r="D17" s="461"/>
      <c r="E17" s="458"/>
      <c r="F17" s="458"/>
      <c r="G17" s="458"/>
      <c r="H17" s="458"/>
      <c r="I17" s="458"/>
      <c r="J17" s="458"/>
      <c r="K17" s="458"/>
      <c r="L17" s="150">
        <v>15</v>
      </c>
      <c r="M17" s="129" t="s">
        <v>28</v>
      </c>
      <c r="N17" s="125" t="s">
        <v>283</v>
      </c>
      <c r="O17" s="126" t="s">
        <v>132</v>
      </c>
      <c r="P17" s="121" t="s">
        <v>142</v>
      </c>
      <c r="R17" s="440"/>
      <c r="S17" s="441"/>
      <c r="T17" s="441"/>
      <c r="U17" s="441"/>
      <c r="V17" s="441"/>
      <c r="W17" s="441"/>
      <c r="X17" s="442"/>
    </row>
    <row r="18" spans="1:24" ht="30">
      <c r="A18" s="119"/>
      <c r="B18" s="450"/>
      <c r="C18" s="453"/>
      <c r="D18" s="461"/>
      <c r="E18" s="458"/>
      <c r="F18" s="458"/>
      <c r="G18" s="458"/>
      <c r="H18" s="458"/>
      <c r="I18" s="458"/>
      <c r="J18" s="458"/>
      <c r="K18" s="458"/>
      <c r="L18" s="150">
        <v>16</v>
      </c>
      <c r="M18" s="129" t="s">
        <v>28</v>
      </c>
      <c r="N18" s="125" t="s">
        <v>283</v>
      </c>
      <c r="O18" s="126" t="s">
        <v>154</v>
      </c>
      <c r="P18" s="121" t="s">
        <v>155</v>
      </c>
      <c r="R18" s="440"/>
      <c r="S18" s="441"/>
      <c r="T18" s="441"/>
      <c r="U18" s="441"/>
      <c r="V18" s="441"/>
      <c r="W18" s="441"/>
      <c r="X18" s="442"/>
    </row>
    <row r="19" spans="1:24" ht="30">
      <c r="A19" s="119"/>
      <c r="B19" s="450"/>
      <c r="C19" s="453"/>
      <c r="D19" s="461"/>
      <c r="E19" s="458"/>
      <c r="F19" s="458"/>
      <c r="G19" s="458"/>
      <c r="H19" s="458"/>
      <c r="I19" s="458"/>
      <c r="J19" s="458"/>
      <c r="K19" s="458"/>
      <c r="L19" s="157">
        <v>17</v>
      </c>
      <c r="M19" s="129" t="s">
        <v>28</v>
      </c>
      <c r="N19" s="125" t="s">
        <v>283</v>
      </c>
      <c r="O19" s="126" t="s">
        <v>154</v>
      </c>
      <c r="P19" s="121" t="s">
        <v>156</v>
      </c>
      <c r="R19" s="440"/>
      <c r="S19" s="441"/>
      <c r="T19" s="441"/>
      <c r="U19" s="441"/>
      <c r="V19" s="441"/>
      <c r="W19" s="441"/>
      <c r="X19" s="442"/>
    </row>
    <row r="20" spans="1:24" ht="24">
      <c r="A20" s="119"/>
      <c r="B20" s="450"/>
      <c r="C20" s="453"/>
      <c r="D20" s="461"/>
      <c r="E20" s="458"/>
      <c r="F20" s="458"/>
      <c r="G20" s="458"/>
      <c r="H20" s="458"/>
      <c r="I20" s="458"/>
      <c r="J20" s="458"/>
      <c r="K20" s="458"/>
      <c r="L20" s="150">
        <v>18</v>
      </c>
      <c r="M20" s="129" t="s">
        <v>28</v>
      </c>
      <c r="N20" s="125" t="s">
        <v>283</v>
      </c>
      <c r="O20" s="126" t="s">
        <v>154</v>
      </c>
      <c r="P20" s="121" t="s">
        <v>354</v>
      </c>
      <c r="R20" s="440"/>
      <c r="S20" s="441"/>
      <c r="T20" s="441"/>
      <c r="U20" s="441"/>
      <c r="V20" s="441"/>
      <c r="W20" s="441"/>
      <c r="X20" s="442"/>
    </row>
    <row r="21" spans="1:24" ht="24">
      <c r="A21" s="119"/>
      <c r="B21" s="450"/>
      <c r="C21" s="453"/>
      <c r="D21" s="461"/>
      <c r="E21" s="458"/>
      <c r="F21" s="458"/>
      <c r="G21" s="458"/>
      <c r="H21" s="458"/>
      <c r="I21" s="458"/>
      <c r="J21" s="458"/>
      <c r="K21" s="458"/>
      <c r="L21" s="150">
        <v>19</v>
      </c>
      <c r="M21" s="129" t="s">
        <v>28</v>
      </c>
      <c r="N21" s="125" t="s">
        <v>283</v>
      </c>
      <c r="O21" s="126" t="s">
        <v>154</v>
      </c>
      <c r="P21" s="121" t="s">
        <v>157</v>
      </c>
      <c r="R21" s="440"/>
      <c r="S21" s="441"/>
      <c r="T21" s="441"/>
      <c r="U21" s="441"/>
      <c r="V21" s="441"/>
      <c r="W21" s="441"/>
      <c r="X21" s="442"/>
    </row>
    <row r="22" spans="1:24" ht="24">
      <c r="A22" s="119"/>
      <c r="B22" s="450"/>
      <c r="C22" s="453"/>
      <c r="D22" s="461"/>
      <c r="E22" s="458"/>
      <c r="F22" s="458"/>
      <c r="G22" s="458"/>
      <c r="H22" s="458"/>
      <c r="I22" s="458"/>
      <c r="J22" s="458"/>
      <c r="K22" s="458"/>
      <c r="L22" s="157">
        <v>20</v>
      </c>
      <c r="M22" s="129" t="s">
        <v>28</v>
      </c>
      <c r="N22" s="125" t="s">
        <v>283</v>
      </c>
      <c r="O22" s="126" t="s">
        <v>161</v>
      </c>
      <c r="P22" s="121" t="s">
        <v>160</v>
      </c>
      <c r="R22" s="440"/>
      <c r="S22" s="441"/>
      <c r="T22" s="441"/>
      <c r="U22" s="441"/>
      <c r="V22" s="441"/>
      <c r="W22" s="441"/>
      <c r="X22" s="442"/>
    </row>
    <row r="23" spans="1:24" ht="24">
      <c r="A23" s="119"/>
      <c r="B23" s="450"/>
      <c r="C23" s="453"/>
      <c r="D23" s="461"/>
      <c r="E23" s="458"/>
      <c r="F23" s="458"/>
      <c r="G23" s="458"/>
      <c r="H23" s="458"/>
      <c r="I23" s="458"/>
      <c r="J23" s="458"/>
      <c r="K23" s="458"/>
      <c r="L23" s="150">
        <v>21</v>
      </c>
      <c r="M23" s="129" t="s">
        <v>28</v>
      </c>
      <c r="N23" s="125" t="s">
        <v>283</v>
      </c>
      <c r="O23" s="126" t="s">
        <v>161</v>
      </c>
      <c r="P23" s="121" t="s">
        <v>162</v>
      </c>
      <c r="R23" s="440"/>
      <c r="S23" s="441"/>
      <c r="T23" s="441"/>
      <c r="U23" s="441"/>
      <c r="V23" s="441"/>
      <c r="W23" s="441"/>
      <c r="X23" s="442"/>
    </row>
    <row r="24" spans="1:24">
      <c r="A24" s="119"/>
      <c r="B24" s="450"/>
      <c r="C24" s="453"/>
      <c r="D24" s="461"/>
      <c r="E24" s="458"/>
      <c r="F24" s="458"/>
      <c r="G24" s="458"/>
      <c r="H24" s="458"/>
      <c r="I24" s="458"/>
      <c r="J24" s="458"/>
      <c r="K24" s="458"/>
      <c r="L24" s="150">
        <v>22</v>
      </c>
      <c r="M24" s="129" t="s">
        <v>28</v>
      </c>
      <c r="N24" s="125" t="s">
        <v>283</v>
      </c>
      <c r="O24" s="126" t="s">
        <v>163</v>
      </c>
      <c r="P24" s="121" t="s">
        <v>164</v>
      </c>
      <c r="R24" s="440"/>
      <c r="S24" s="441"/>
      <c r="T24" s="441"/>
      <c r="U24" s="441"/>
      <c r="V24" s="441"/>
      <c r="W24" s="441"/>
      <c r="X24" s="442"/>
    </row>
    <row r="25" spans="1:24">
      <c r="A25" s="119"/>
      <c r="B25" s="450"/>
      <c r="C25" s="453"/>
      <c r="D25" s="461"/>
      <c r="E25" s="458"/>
      <c r="F25" s="458"/>
      <c r="G25" s="458"/>
      <c r="H25" s="458"/>
      <c r="I25" s="458"/>
      <c r="J25" s="458"/>
      <c r="K25" s="458"/>
      <c r="L25" s="157">
        <v>23</v>
      </c>
      <c r="M25" s="129" t="s">
        <v>28</v>
      </c>
      <c r="N25" s="125" t="s">
        <v>283</v>
      </c>
      <c r="O25" s="126" t="s">
        <v>163</v>
      </c>
      <c r="P25" s="121" t="s">
        <v>165</v>
      </c>
      <c r="R25" s="440"/>
      <c r="S25" s="441"/>
      <c r="T25" s="441"/>
      <c r="U25" s="441"/>
      <c r="V25" s="441"/>
      <c r="W25" s="441"/>
      <c r="X25" s="442"/>
    </row>
    <row r="26" spans="1:24" ht="30">
      <c r="A26" s="119"/>
      <c r="B26" s="450"/>
      <c r="C26" s="453"/>
      <c r="D26" s="461"/>
      <c r="E26" s="458"/>
      <c r="F26" s="458"/>
      <c r="G26" s="458"/>
      <c r="H26" s="458"/>
      <c r="I26" s="458"/>
      <c r="J26" s="458"/>
      <c r="K26" s="458"/>
      <c r="L26" s="150">
        <v>24</v>
      </c>
      <c r="M26" s="129" t="s">
        <v>28</v>
      </c>
      <c r="N26" s="125" t="s">
        <v>283</v>
      </c>
      <c r="O26" s="126" t="s">
        <v>163</v>
      </c>
      <c r="P26" s="121" t="s">
        <v>166</v>
      </c>
      <c r="R26" s="440"/>
      <c r="S26" s="441"/>
      <c r="T26" s="441"/>
      <c r="U26" s="441"/>
      <c r="V26" s="441"/>
      <c r="W26" s="441"/>
      <c r="X26" s="442"/>
    </row>
    <row r="27" spans="1:24">
      <c r="A27" s="119"/>
      <c r="B27" s="450"/>
      <c r="C27" s="453"/>
      <c r="D27" s="461"/>
      <c r="E27" s="458"/>
      <c r="F27" s="458"/>
      <c r="G27" s="458"/>
      <c r="H27" s="458"/>
      <c r="I27" s="458"/>
      <c r="J27" s="458"/>
      <c r="K27" s="458"/>
      <c r="L27" s="150">
        <v>25</v>
      </c>
      <c r="M27" s="129" t="s">
        <v>28</v>
      </c>
      <c r="N27" s="125" t="s">
        <v>283</v>
      </c>
      <c r="O27" s="126" t="s">
        <v>163</v>
      </c>
      <c r="P27" s="121" t="s">
        <v>167</v>
      </c>
      <c r="R27" s="440"/>
      <c r="S27" s="441"/>
      <c r="T27" s="441"/>
      <c r="U27" s="441"/>
      <c r="V27" s="441"/>
      <c r="W27" s="441"/>
      <c r="X27" s="442"/>
    </row>
    <row r="28" spans="1:24" ht="30">
      <c r="A28" s="119"/>
      <c r="B28" s="450"/>
      <c r="C28" s="453"/>
      <c r="D28" s="461"/>
      <c r="E28" s="458"/>
      <c r="F28" s="458"/>
      <c r="G28" s="458"/>
      <c r="H28" s="458"/>
      <c r="I28" s="458"/>
      <c r="J28" s="458"/>
      <c r="K28" s="458"/>
      <c r="L28" s="157">
        <v>26</v>
      </c>
      <c r="M28" s="129" t="s">
        <v>28</v>
      </c>
      <c r="N28" s="125" t="s">
        <v>283</v>
      </c>
      <c r="O28" s="126" t="s">
        <v>163</v>
      </c>
      <c r="P28" s="121" t="s">
        <v>168</v>
      </c>
      <c r="R28" s="440"/>
      <c r="S28" s="441"/>
      <c r="T28" s="441"/>
      <c r="U28" s="441"/>
      <c r="V28" s="441"/>
      <c r="W28" s="441"/>
      <c r="X28" s="442"/>
    </row>
    <row r="29" spans="1:24" ht="15.75" thickBot="1">
      <c r="A29" s="119"/>
      <c r="B29" s="451"/>
      <c r="C29" s="454"/>
      <c r="D29" s="462"/>
      <c r="E29" s="459"/>
      <c r="F29" s="459"/>
      <c r="G29" s="459"/>
      <c r="H29" s="459"/>
      <c r="I29" s="459"/>
      <c r="J29" s="459"/>
      <c r="K29" s="459"/>
      <c r="L29" s="151">
        <v>27</v>
      </c>
      <c r="M29" s="162" t="s">
        <v>28</v>
      </c>
      <c r="N29" s="138" t="s">
        <v>283</v>
      </c>
      <c r="O29" s="139" t="s">
        <v>169</v>
      </c>
      <c r="P29" s="122" t="s">
        <v>170</v>
      </c>
      <c r="R29" s="440"/>
      <c r="S29" s="441"/>
      <c r="T29" s="441"/>
      <c r="U29" s="441"/>
      <c r="V29" s="441"/>
      <c r="W29" s="441"/>
      <c r="X29" s="442"/>
    </row>
    <row r="30" spans="1:24">
      <c r="A30" s="427" t="s">
        <v>31</v>
      </c>
      <c r="B30" s="455" t="s">
        <v>2</v>
      </c>
      <c r="C30" s="446" t="str">
        <f>'Step 1 - System Definition'!O2</f>
        <v>Battery Cell(s)</v>
      </c>
      <c r="D30" s="466" t="str">
        <f>'Step 5 - Mitigation Analysis'!F4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30" s="469" t="str">
        <f>'Step 5 - Mitigation Analysis'!I4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30" s="472" t="str">
        <f>'Step 5 - Mitigation Analysis'!L4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30" s="472" t="str">
        <f>'Step 5 - Mitigation Analysis'!O4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30" s="469" t="str">
        <f>'Step 5 - Mitigation Analysis'!R4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30" s="472" t="str">
        <f>'Step 5 - Mitigation Analysis'!U4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30" s="472" t="str">
        <f>'Step 5 - Mitigation Analysis'!X4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30" s="472" t="str">
        <f>'Step 5 - Mitigation Analysis'!AA4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30" s="149">
        <v>4</v>
      </c>
      <c r="M30" s="134" t="s">
        <v>28</v>
      </c>
      <c r="N30" s="134" t="s">
        <v>283</v>
      </c>
      <c r="O30" s="135" t="s">
        <v>118</v>
      </c>
      <c r="P30" s="136" t="s">
        <v>285</v>
      </c>
      <c r="R30" s="440"/>
      <c r="S30" s="441"/>
      <c r="T30" s="441"/>
      <c r="U30" s="441"/>
      <c r="V30" s="441"/>
      <c r="W30" s="441"/>
      <c r="X30" s="442"/>
    </row>
    <row r="31" spans="1:24">
      <c r="A31" s="428"/>
      <c r="B31" s="436"/>
      <c r="C31" s="447"/>
      <c r="D31" s="467"/>
      <c r="E31" s="470"/>
      <c r="F31" s="473"/>
      <c r="G31" s="473"/>
      <c r="H31" s="470"/>
      <c r="I31" s="473"/>
      <c r="J31" s="473"/>
      <c r="K31" s="473"/>
      <c r="L31" s="150">
        <v>5</v>
      </c>
      <c r="M31" s="125" t="s">
        <v>28</v>
      </c>
      <c r="N31" s="125" t="s">
        <v>283</v>
      </c>
      <c r="O31" s="126" t="s">
        <v>118</v>
      </c>
      <c r="P31" s="137" t="s">
        <v>287</v>
      </c>
      <c r="R31" s="440"/>
      <c r="S31" s="441"/>
      <c r="T31" s="441"/>
      <c r="U31" s="441"/>
      <c r="V31" s="441"/>
      <c r="W31" s="441"/>
      <c r="X31" s="442"/>
    </row>
    <row r="32" spans="1:24">
      <c r="A32" s="428"/>
      <c r="B32" s="436"/>
      <c r="C32" s="447"/>
      <c r="D32" s="467"/>
      <c r="E32" s="470"/>
      <c r="F32" s="473"/>
      <c r="G32" s="473"/>
      <c r="H32" s="470"/>
      <c r="I32" s="473"/>
      <c r="J32" s="473"/>
      <c r="K32" s="473"/>
      <c r="L32" s="150">
        <v>6</v>
      </c>
      <c r="M32" s="125" t="s">
        <v>28</v>
      </c>
      <c r="N32" s="125" t="s">
        <v>283</v>
      </c>
      <c r="O32" s="126" t="s">
        <v>118</v>
      </c>
      <c r="P32" s="137" t="s">
        <v>288</v>
      </c>
      <c r="R32" s="440"/>
      <c r="S32" s="441"/>
      <c r="T32" s="441"/>
      <c r="U32" s="441"/>
      <c r="V32" s="441"/>
      <c r="W32" s="441"/>
      <c r="X32" s="442"/>
    </row>
    <row r="33" spans="1:24">
      <c r="A33" s="428"/>
      <c r="B33" s="436"/>
      <c r="C33" s="447"/>
      <c r="D33" s="467"/>
      <c r="E33" s="470"/>
      <c r="F33" s="473"/>
      <c r="G33" s="473"/>
      <c r="H33" s="470"/>
      <c r="I33" s="473"/>
      <c r="J33" s="473"/>
      <c r="K33" s="473"/>
      <c r="L33" s="150">
        <v>7</v>
      </c>
      <c r="M33" s="125" t="s">
        <v>28</v>
      </c>
      <c r="N33" s="125" t="s">
        <v>283</v>
      </c>
      <c r="O33" s="126" t="s">
        <v>118</v>
      </c>
      <c r="P33" s="137" t="s">
        <v>289</v>
      </c>
      <c r="R33" s="440"/>
      <c r="S33" s="441"/>
      <c r="T33" s="441"/>
      <c r="U33" s="441"/>
      <c r="V33" s="441"/>
      <c r="W33" s="441"/>
      <c r="X33" s="442"/>
    </row>
    <row r="34" spans="1:24">
      <c r="A34" s="428"/>
      <c r="B34" s="436"/>
      <c r="C34" s="447"/>
      <c r="D34" s="467"/>
      <c r="E34" s="470"/>
      <c r="F34" s="473"/>
      <c r="G34" s="473"/>
      <c r="H34" s="470"/>
      <c r="I34" s="473"/>
      <c r="J34" s="473"/>
      <c r="K34" s="473"/>
      <c r="L34" s="150">
        <v>8</v>
      </c>
      <c r="M34" s="125" t="s">
        <v>28</v>
      </c>
      <c r="N34" s="125" t="s">
        <v>283</v>
      </c>
      <c r="O34" s="126" t="s">
        <v>118</v>
      </c>
      <c r="P34" s="137" t="s">
        <v>290</v>
      </c>
      <c r="R34" s="440"/>
      <c r="S34" s="441"/>
      <c r="T34" s="441"/>
      <c r="U34" s="441"/>
      <c r="V34" s="441"/>
      <c r="W34" s="441"/>
      <c r="X34" s="442"/>
    </row>
    <row r="35" spans="1:24" ht="30.75" thickBot="1">
      <c r="A35" s="428"/>
      <c r="B35" s="436"/>
      <c r="C35" s="447"/>
      <c r="D35" s="467"/>
      <c r="E35" s="470"/>
      <c r="F35" s="473"/>
      <c r="G35" s="473"/>
      <c r="H35" s="470"/>
      <c r="I35" s="473"/>
      <c r="J35" s="473"/>
      <c r="K35" s="473"/>
      <c r="L35" s="150">
        <v>9</v>
      </c>
      <c r="M35" s="125" t="s">
        <v>28</v>
      </c>
      <c r="N35" s="125" t="s">
        <v>283</v>
      </c>
      <c r="O35" s="126" t="s">
        <v>118</v>
      </c>
      <c r="P35" s="137" t="s">
        <v>291</v>
      </c>
      <c r="R35" s="443"/>
      <c r="S35" s="444"/>
      <c r="T35" s="444"/>
      <c r="U35" s="444"/>
      <c r="V35" s="444"/>
      <c r="W35" s="444"/>
      <c r="X35" s="445"/>
    </row>
    <row r="36" spans="1:24" ht="24.75" thickBot="1">
      <c r="A36" s="428"/>
      <c r="B36" s="436"/>
      <c r="C36" s="448"/>
      <c r="D36" s="468"/>
      <c r="E36" s="471"/>
      <c r="F36" s="474"/>
      <c r="G36" s="474"/>
      <c r="H36" s="471"/>
      <c r="I36" s="474"/>
      <c r="J36" s="474"/>
      <c r="K36" s="474"/>
      <c r="L36" s="151">
        <v>10</v>
      </c>
      <c r="M36" s="138" t="s">
        <v>28</v>
      </c>
      <c r="N36" s="138" t="s">
        <v>283</v>
      </c>
      <c r="O36" s="139" t="s">
        <v>132</v>
      </c>
      <c r="P36" s="140" t="s">
        <v>286</v>
      </c>
      <c r="R36" s="87"/>
      <c r="S36" s="87"/>
      <c r="T36" s="87"/>
      <c r="U36" s="87"/>
      <c r="V36" s="87"/>
      <c r="W36" s="87"/>
      <c r="X36" s="87"/>
    </row>
    <row r="37" spans="1:24">
      <c r="A37" s="428"/>
      <c r="B37" s="436"/>
      <c r="C37" s="446" t="str">
        <f>'Step 1 - System Definition'!O3</f>
        <v>Battery Module(s)</v>
      </c>
      <c r="D37" s="466" t="str">
        <f>'Step 5 - Mitigation Analysis'!F5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37" s="472" t="str">
        <f>'Step 5 - Mitigation Analysis'!I5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37" s="472" t="str">
        <f>'Step 5 - Mitigation Analysis'!L5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37" s="472" t="str">
        <f>'Step 5 - Mitigation Analysis'!O5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37" s="472" t="str">
        <f>'Step 5 - Mitigation Analysis'!R5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37" s="472" t="str">
        <f>'Step 5 - Mitigation Analysis'!U5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37" s="472" t="str">
        <f>'Step 5 - Mitigation Analysis'!X5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37" s="472" t="str">
        <f>'Step 5 - Mitigation Analysis'!AA5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37" s="149">
        <v>11</v>
      </c>
      <c r="M37" s="134" t="s">
        <v>28</v>
      </c>
      <c r="N37" s="134" t="s">
        <v>283</v>
      </c>
      <c r="O37" s="135" t="s">
        <v>118</v>
      </c>
      <c r="P37" s="136" t="s">
        <v>292</v>
      </c>
      <c r="R37" s="87"/>
      <c r="S37" s="87"/>
      <c r="T37" s="87"/>
      <c r="U37" s="87"/>
      <c r="V37" s="87"/>
      <c r="W37" s="87"/>
      <c r="X37" s="87"/>
    </row>
    <row r="38" spans="1:24">
      <c r="A38" s="428"/>
      <c r="B38" s="436"/>
      <c r="C38" s="447"/>
      <c r="D38" s="467"/>
      <c r="E38" s="473"/>
      <c r="F38" s="473"/>
      <c r="G38" s="473"/>
      <c r="H38" s="473"/>
      <c r="I38" s="473"/>
      <c r="J38" s="473"/>
      <c r="K38" s="473"/>
      <c r="L38" s="150">
        <v>12</v>
      </c>
      <c r="M38" s="125" t="s">
        <v>28</v>
      </c>
      <c r="N38" s="125" t="s">
        <v>283</v>
      </c>
      <c r="O38" s="126" t="s">
        <v>118</v>
      </c>
      <c r="P38" s="137" t="s">
        <v>293</v>
      </c>
      <c r="R38" s="87"/>
      <c r="S38" s="87"/>
      <c r="T38" s="87"/>
      <c r="U38" s="87"/>
      <c r="V38" s="87"/>
      <c r="W38" s="87"/>
      <c r="X38" s="87"/>
    </row>
    <row r="39" spans="1:24">
      <c r="A39" s="428"/>
      <c r="B39" s="436"/>
      <c r="C39" s="447"/>
      <c r="D39" s="467"/>
      <c r="E39" s="473"/>
      <c r="F39" s="473"/>
      <c r="G39" s="473"/>
      <c r="H39" s="473"/>
      <c r="I39" s="473"/>
      <c r="J39" s="473"/>
      <c r="K39" s="473"/>
      <c r="L39" s="150">
        <v>13</v>
      </c>
      <c r="M39" s="125" t="s">
        <v>28</v>
      </c>
      <c r="N39" s="125" t="s">
        <v>283</v>
      </c>
      <c r="O39" s="126" t="s">
        <v>118</v>
      </c>
      <c r="P39" s="137" t="s">
        <v>294</v>
      </c>
      <c r="R39" s="87"/>
      <c r="S39" s="87"/>
      <c r="T39" s="87"/>
      <c r="U39" s="87"/>
      <c r="V39" s="87"/>
      <c r="W39" s="87"/>
      <c r="X39" s="87"/>
    </row>
    <row r="40" spans="1:24">
      <c r="A40" s="428"/>
      <c r="B40" s="436"/>
      <c r="C40" s="447"/>
      <c r="D40" s="467"/>
      <c r="E40" s="473"/>
      <c r="F40" s="473"/>
      <c r="G40" s="473"/>
      <c r="H40" s="473"/>
      <c r="I40" s="473"/>
      <c r="J40" s="473"/>
      <c r="K40" s="473"/>
      <c r="L40" s="150">
        <v>14</v>
      </c>
      <c r="M40" s="125" t="s">
        <v>28</v>
      </c>
      <c r="N40" s="125" t="s">
        <v>283</v>
      </c>
      <c r="O40" s="126" t="s">
        <v>118</v>
      </c>
      <c r="P40" s="137" t="s">
        <v>289</v>
      </c>
      <c r="R40" s="87"/>
      <c r="S40" s="87"/>
      <c r="T40" s="87"/>
      <c r="U40" s="87"/>
      <c r="V40" s="87"/>
      <c r="W40" s="87"/>
      <c r="X40" s="87"/>
    </row>
    <row r="41" spans="1:24">
      <c r="A41" s="428"/>
      <c r="B41" s="436"/>
      <c r="C41" s="447"/>
      <c r="D41" s="467"/>
      <c r="E41" s="473"/>
      <c r="F41" s="473"/>
      <c r="G41" s="473"/>
      <c r="H41" s="473"/>
      <c r="I41" s="473"/>
      <c r="J41" s="473"/>
      <c r="K41" s="473"/>
      <c r="L41" s="150">
        <v>15</v>
      </c>
      <c r="M41" s="125" t="s">
        <v>28</v>
      </c>
      <c r="N41" s="125" t="s">
        <v>283</v>
      </c>
      <c r="O41" s="126" t="s">
        <v>118</v>
      </c>
      <c r="P41" s="137" t="s">
        <v>295</v>
      </c>
      <c r="R41" s="87"/>
      <c r="S41" s="87"/>
      <c r="T41" s="87"/>
      <c r="U41" s="87"/>
      <c r="V41" s="87"/>
      <c r="W41" s="87"/>
      <c r="X41" s="87"/>
    </row>
    <row r="42" spans="1:24" ht="30">
      <c r="A42" s="428"/>
      <c r="B42" s="436"/>
      <c r="C42" s="447"/>
      <c r="D42" s="467"/>
      <c r="E42" s="473"/>
      <c r="F42" s="473"/>
      <c r="G42" s="473"/>
      <c r="H42" s="473"/>
      <c r="I42" s="473"/>
      <c r="J42" s="473"/>
      <c r="K42" s="473"/>
      <c r="L42" s="150">
        <v>16</v>
      </c>
      <c r="M42" s="125" t="s">
        <v>28</v>
      </c>
      <c r="N42" s="125" t="s">
        <v>283</v>
      </c>
      <c r="O42" s="126" t="s">
        <v>118</v>
      </c>
      <c r="P42" s="137" t="s">
        <v>296</v>
      </c>
      <c r="R42" s="87"/>
      <c r="S42" s="87"/>
      <c r="T42" s="87"/>
      <c r="U42" s="87"/>
      <c r="V42" s="87"/>
      <c r="W42" s="87"/>
      <c r="X42" s="87"/>
    </row>
    <row r="43" spans="1:24" ht="24.75" thickBot="1">
      <c r="A43" s="428"/>
      <c r="B43" s="436"/>
      <c r="C43" s="448"/>
      <c r="D43" s="468"/>
      <c r="E43" s="474"/>
      <c r="F43" s="474"/>
      <c r="G43" s="474"/>
      <c r="H43" s="474"/>
      <c r="I43" s="474"/>
      <c r="J43" s="474"/>
      <c r="K43" s="474"/>
      <c r="L43" s="151">
        <v>17</v>
      </c>
      <c r="M43" s="138" t="s">
        <v>28</v>
      </c>
      <c r="N43" s="138" t="s">
        <v>283</v>
      </c>
      <c r="O43" s="139" t="s">
        <v>132</v>
      </c>
      <c r="P43" s="140" t="s">
        <v>297</v>
      </c>
      <c r="R43" s="87"/>
      <c r="S43" s="87"/>
      <c r="T43" s="87"/>
      <c r="U43" s="87"/>
      <c r="V43" s="87"/>
      <c r="W43" s="87"/>
      <c r="X43" s="87"/>
    </row>
    <row r="44" spans="1:24">
      <c r="A44" s="428"/>
      <c r="B44" s="436"/>
      <c r="C44" s="446" t="str">
        <f>'Step 1 - System Definition'!O4</f>
        <v>Battery Pack(s)</v>
      </c>
      <c r="D44" s="466" t="str">
        <f>'Step 5 - Mitigation Analysis'!F6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44" s="472" t="str">
        <f>'Step 5 - Mitigation Analysis'!I6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44" s="472" t="str">
        <f>'Step 5 - Mitigation Analysis'!L6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44" s="472" t="str">
        <f>'Step 5 - Mitigation Analysis'!O6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44" s="472" t="str">
        <f>'Step 5 - Mitigation Analysis'!R6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44" s="472" t="str">
        <f>'Step 5 - Mitigation Analysis'!U6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44" s="472" t="str">
        <f>'Step 5 - Mitigation Analysis'!X6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44" s="472" t="str">
        <f>'Step 5 - Mitigation Analysis'!AA6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44" s="149">
        <v>18</v>
      </c>
      <c r="M44" s="134" t="s">
        <v>28</v>
      </c>
      <c r="N44" s="134" t="s">
        <v>283</v>
      </c>
      <c r="O44" s="135" t="s">
        <v>118</v>
      </c>
      <c r="P44" s="136" t="s">
        <v>303</v>
      </c>
      <c r="R44" s="87"/>
      <c r="S44" s="87"/>
      <c r="T44" s="87"/>
      <c r="U44" s="87"/>
      <c r="V44" s="87"/>
      <c r="W44" s="87"/>
      <c r="X44" s="87"/>
    </row>
    <row r="45" spans="1:24">
      <c r="A45" s="428"/>
      <c r="B45" s="436"/>
      <c r="C45" s="447"/>
      <c r="D45" s="467"/>
      <c r="E45" s="473"/>
      <c r="F45" s="473"/>
      <c r="G45" s="473"/>
      <c r="H45" s="473"/>
      <c r="I45" s="473"/>
      <c r="J45" s="473"/>
      <c r="K45" s="473"/>
      <c r="L45" s="150">
        <v>19</v>
      </c>
      <c r="M45" s="125" t="s">
        <v>28</v>
      </c>
      <c r="N45" s="125" t="s">
        <v>283</v>
      </c>
      <c r="O45" s="126" t="s">
        <v>118</v>
      </c>
      <c r="P45" s="137" t="s">
        <v>304</v>
      </c>
      <c r="R45" s="87"/>
      <c r="S45" s="87"/>
      <c r="T45" s="87"/>
      <c r="U45" s="87"/>
      <c r="V45" s="87"/>
      <c r="W45" s="87"/>
      <c r="X45" s="87"/>
    </row>
    <row r="46" spans="1:24">
      <c r="A46" s="428"/>
      <c r="B46" s="436"/>
      <c r="C46" s="447"/>
      <c r="D46" s="467"/>
      <c r="E46" s="473"/>
      <c r="F46" s="473"/>
      <c r="G46" s="473"/>
      <c r="H46" s="473"/>
      <c r="I46" s="473"/>
      <c r="J46" s="473"/>
      <c r="K46" s="473"/>
      <c r="L46" s="150">
        <v>20</v>
      </c>
      <c r="M46" s="125" t="s">
        <v>28</v>
      </c>
      <c r="N46" s="125" t="s">
        <v>283</v>
      </c>
      <c r="O46" s="126" t="s">
        <v>118</v>
      </c>
      <c r="P46" s="137" t="s">
        <v>305</v>
      </c>
      <c r="R46" s="87"/>
      <c r="S46" s="87"/>
      <c r="T46" s="87"/>
      <c r="U46" s="87"/>
      <c r="V46" s="87"/>
      <c r="W46" s="87"/>
      <c r="X46" s="87"/>
    </row>
    <row r="47" spans="1:24">
      <c r="A47" s="428"/>
      <c r="B47" s="436"/>
      <c r="C47" s="447"/>
      <c r="D47" s="467"/>
      <c r="E47" s="473"/>
      <c r="F47" s="473"/>
      <c r="G47" s="473"/>
      <c r="H47" s="473"/>
      <c r="I47" s="473"/>
      <c r="J47" s="473"/>
      <c r="K47" s="473"/>
      <c r="L47" s="150">
        <v>21</v>
      </c>
      <c r="M47" s="125" t="s">
        <v>28</v>
      </c>
      <c r="N47" s="125" t="s">
        <v>283</v>
      </c>
      <c r="O47" s="126" t="s">
        <v>118</v>
      </c>
      <c r="P47" s="137" t="s">
        <v>289</v>
      </c>
      <c r="R47" s="87"/>
      <c r="S47" s="87"/>
      <c r="T47" s="87"/>
      <c r="U47" s="87"/>
      <c r="V47" s="87"/>
      <c r="W47" s="87"/>
      <c r="X47" s="87"/>
    </row>
    <row r="48" spans="1:24">
      <c r="A48" s="428"/>
      <c r="B48" s="436"/>
      <c r="C48" s="447"/>
      <c r="D48" s="467"/>
      <c r="E48" s="473"/>
      <c r="F48" s="473"/>
      <c r="G48" s="473"/>
      <c r="H48" s="473"/>
      <c r="I48" s="473"/>
      <c r="J48" s="473"/>
      <c r="K48" s="473"/>
      <c r="L48" s="150">
        <v>22</v>
      </c>
      <c r="M48" s="125" t="s">
        <v>28</v>
      </c>
      <c r="N48" s="125" t="s">
        <v>283</v>
      </c>
      <c r="O48" s="126" t="s">
        <v>118</v>
      </c>
      <c r="P48" s="137" t="s">
        <v>306</v>
      </c>
      <c r="R48" s="87"/>
      <c r="S48" s="87"/>
      <c r="T48" s="87"/>
      <c r="U48" s="87"/>
      <c r="V48" s="87"/>
      <c r="W48" s="87"/>
      <c r="X48" s="87"/>
    </row>
    <row r="49" spans="1:24">
      <c r="A49" s="428"/>
      <c r="B49" s="436"/>
      <c r="C49" s="447"/>
      <c r="D49" s="467"/>
      <c r="E49" s="473"/>
      <c r="F49" s="473"/>
      <c r="G49" s="473"/>
      <c r="H49" s="473"/>
      <c r="I49" s="473"/>
      <c r="J49" s="473"/>
      <c r="K49" s="473"/>
      <c r="L49" s="150">
        <v>23</v>
      </c>
      <c r="M49" s="125" t="s">
        <v>28</v>
      </c>
      <c r="N49" s="125" t="s">
        <v>283</v>
      </c>
      <c r="O49" s="126" t="s">
        <v>118</v>
      </c>
      <c r="P49" s="137" t="s">
        <v>298</v>
      </c>
      <c r="R49" s="87"/>
      <c r="S49" s="87"/>
      <c r="T49" s="87"/>
      <c r="U49" s="87"/>
      <c r="V49" s="87"/>
      <c r="W49" s="87"/>
      <c r="X49" s="87"/>
    </row>
    <row r="50" spans="1:24" ht="30">
      <c r="A50" s="428"/>
      <c r="B50" s="436"/>
      <c r="C50" s="447"/>
      <c r="D50" s="467"/>
      <c r="E50" s="473"/>
      <c r="F50" s="473"/>
      <c r="G50" s="473"/>
      <c r="H50" s="473"/>
      <c r="I50" s="473"/>
      <c r="J50" s="473"/>
      <c r="K50" s="473"/>
      <c r="L50" s="150">
        <v>24</v>
      </c>
      <c r="M50" s="125" t="s">
        <v>28</v>
      </c>
      <c r="N50" s="125" t="s">
        <v>283</v>
      </c>
      <c r="O50" s="126" t="s">
        <v>118</v>
      </c>
      <c r="P50" s="137" t="s">
        <v>307</v>
      </c>
      <c r="R50" s="87"/>
      <c r="S50" s="87"/>
      <c r="T50" s="87"/>
      <c r="U50" s="87"/>
      <c r="V50" s="87"/>
      <c r="W50" s="87"/>
      <c r="X50" s="87"/>
    </row>
    <row r="51" spans="1:24" ht="30">
      <c r="A51" s="428"/>
      <c r="B51" s="436"/>
      <c r="C51" s="447"/>
      <c r="D51" s="467"/>
      <c r="E51" s="473"/>
      <c r="F51" s="473"/>
      <c r="G51" s="473"/>
      <c r="H51" s="473"/>
      <c r="I51" s="473"/>
      <c r="J51" s="473"/>
      <c r="K51" s="473"/>
      <c r="L51" s="150">
        <v>25</v>
      </c>
      <c r="M51" s="125" t="s">
        <v>28</v>
      </c>
      <c r="N51" s="125" t="s">
        <v>283</v>
      </c>
      <c r="O51" s="126" t="s">
        <v>118</v>
      </c>
      <c r="P51" s="137" t="s">
        <v>299</v>
      </c>
      <c r="R51" s="87"/>
      <c r="S51" s="87"/>
      <c r="T51" s="87"/>
      <c r="U51" s="87"/>
      <c r="V51" s="87"/>
      <c r="W51" s="87"/>
      <c r="X51" s="87"/>
    </row>
    <row r="52" spans="1:24" ht="30">
      <c r="A52" s="428"/>
      <c r="B52" s="436"/>
      <c r="C52" s="447"/>
      <c r="D52" s="467"/>
      <c r="E52" s="473"/>
      <c r="F52" s="473"/>
      <c r="G52" s="473"/>
      <c r="H52" s="473"/>
      <c r="I52" s="473"/>
      <c r="J52" s="473"/>
      <c r="K52" s="473"/>
      <c r="L52" s="150">
        <v>26</v>
      </c>
      <c r="M52" s="125" t="s">
        <v>28</v>
      </c>
      <c r="N52" s="125" t="s">
        <v>283</v>
      </c>
      <c r="O52" s="126" t="s">
        <v>118</v>
      </c>
      <c r="P52" s="137" t="s">
        <v>300</v>
      </c>
      <c r="R52" s="87"/>
      <c r="S52" s="87"/>
      <c r="T52" s="87"/>
      <c r="U52" s="87"/>
      <c r="V52" s="87"/>
      <c r="W52" s="87"/>
      <c r="X52" s="87"/>
    </row>
    <row r="53" spans="1:24" ht="24">
      <c r="A53" s="428"/>
      <c r="B53" s="436"/>
      <c r="C53" s="447"/>
      <c r="D53" s="467"/>
      <c r="E53" s="473"/>
      <c r="F53" s="473"/>
      <c r="G53" s="473"/>
      <c r="H53" s="473"/>
      <c r="I53" s="473"/>
      <c r="J53" s="473"/>
      <c r="K53" s="473"/>
      <c r="L53" s="150">
        <v>27</v>
      </c>
      <c r="M53" s="125" t="s">
        <v>28</v>
      </c>
      <c r="N53" s="125" t="s">
        <v>283</v>
      </c>
      <c r="O53" s="126" t="s">
        <v>132</v>
      </c>
      <c r="P53" s="137" t="s">
        <v>297</v>
      </c>
      <c r="R53" s="87"/>
      <c r="S53" s="87"/>
      <c r="T53" s="87"/>
      <c r="U53" s="87"/>
      <c r="V53" s="87"/>
      <c r="W53" s="87"/>
      <c r="X53" s="87"/>
    </row>
    <row r="54" spans="1:24">
      <c r="A54" s="428"/>
      <c r="B54" s="436"/>
      <c r="C54" s="447"/>
      <c r="D54" s="467"/>
      <c r="E54" s="473"/>
      <c r="F54" s="473"/>
      <c r="G54" s="473"/>
      <c r="H54" s="473"/>
      <c r="I54" s="473"/>
      <c r="J54" s="473"/>
      <c r="K54" s="473"/>
      <c r="L54" s="150">
        <v>28</v>
      </c>
      <c r="M54" s="125" t="s">
        <v>28</v>
      </c>
      <c r="N54" s="125" t="s">
        <v>283</v>
      </c>
      <c r="O54" s="126" t="s">
        <v>145</v>
      </c>
      <c r="P54" s="137" t="s">
        <v>310</v>
      </c>
      <c r="R54" s="87"/>
      <c r="S54" s="87"/>
      <c r="T54" s="87"/>
      <c r="U54" s="87"/>
      <c r="V54" s="87"/>
      <c r="W54" s="87"/>
      <c r="X54" s="87"/>
    </row>
    <row r="55" spans="1:24" ht="30">
      <c r="A55" s="428"/>
      <c r="B55" s="436"/>
      <c r="C55" s="447"/>
      <c r="D55" s="467"/>
      <c r="E55" s="473"/>
      <c r="F55" s="473"/>
      <c r="G55" s="473"/>
      <c r="H55" s="473"/>
      <c r="I55" s="473"/>
      <c r="J55" s="473"/>
      <c r="K55" s="473"/>
      <c r="L55" s="150">
        <v>29</v>
      </c>
      <c r="M55" s="125" t="s">
        <v>28</v>
      </c>
      <c r="N55" s="125" t="s">
        <v>283</v>
      </c>
      <c r="O55" s="126" t="s">
        <v>145</v>
      </c>
      <c r="P55" s="137" t="s">
        <v>309</v>
      </c>
      <c r="R55" s="87"/>
      <c r="S55" s="87"/>
      <c r="T55" s="87"/>
      <c r="U55" s="87"/>
      <c r="V55" s="87"/>
      <c r="W55" s="87"/>
      <c r="X55" s="87"/>
    </row>
    <row r="56" spans="1:24" ht="30.75" thickBot="1">
      <c r="A56" s="428"/>
      <c r="B56" s="456"/>
      <c r="C56" s="448"/>
      <c r="D56" s="468"/>
      <c r="E56" s="474"/>
      <c r="F56" s="474"/>
      <c r="G56" s="474"/>
      <c r="H56" s="474"/>
      <c r="I56" s="474"/>
      <c r="J56" s="474"/>
      <c r="K56" s="474"/>
      <c r="L56" s="151">
        <v>30</v>
      </c>
      <c r="M56" s="138" t="s">
        <v>28</v>
      </c>
      <c r="N56" s="138" t="s">
        <v>283</v>
      </c>
      <c r="O56" s="139" t="s">
        <v>145</v>
      </c>
      <c r="P56" s="140" t="s">
        <v>308</v>
      </c>
      <c r="R56" s="87"/>
      <c r="S56" s="87"/>
      <c r="T56" s="87"/>
      <c r="U56" s="87"/>
      <c r="V56" s="87"/>
      <c r="W56" s="87"/>
      <c r="X56" s="87"/>
    </row>
    <row r="57" spans="1:24">
      <c r="A57" s="428"/>
      <c r="B57" s="465" t="s">
        <v>32</v>
      </c>
      <c r="C57" s="446" t="str">
        <f>'Step 1 - System Definition'!O5</f>
        <v>Interface Board(s)</v>
      </c>
      <c r="D57" s="466" t="str">
        <f>'Step 5 - Mitigation Analysis'!F7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57" s="472" t="str">
        <f>'Step 5 - Mitigation Analysis'!I7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57" s="472" t="str">
        <f>'Step 5 - Mitigation Analysis'!L7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57" s="472" t="str">
        <f>'Step 5 - Mitigation Analysis'!O7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57" s="472" t="str">
        <f>'Step 5 - Mitigation Analysis'!R7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57" s="472" t="str">
        <f>'Step 5 - Mitigation Analysis'!U7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57" s="472" t="str">
        <f>'Step 5 - Mitigation Analysis'!X7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57" s="472" t="str">
        <f>'Step 5 - Mitigation Analysis'!AA7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57" s="149">
        <v>31</v>
      </c>
      <c r="M57" s="134" t="s">
        <v>28</v>
      </c>
      <c r="N57" s="134" t="s">
        <v>283</v>
      </c>
      <c r="O57" s="135" t="s">
        <v>118</v>
      </c>
      <c r="P57" s="136" t="s">
        <v>311</v>
      </c>
      <c r="R57" s="87"/>
      <c r="S57" s="87"/>
      <c r="T57" s="87"/>
      <c r="U57" s="87"/>
      <c r="V57" s="87"/>
      <c r="W57" s="87"/>
      <c r="X57" s="87"/>
    </row>
    <row r="58" spans="1:24">
      <c r="A58" s="428"/>
      <c r="B58" s="436"/>
      <c r="C58" s="447"/>
      <c r="D58" s="467"/>
      <c r="E58" s="473"/>
      <c r="F58" s="473"/>
      <c r="G58" s="473"/>
      <c r="H58" s="473"/>
      <c r="I58" s="473"/>
      <c r="J58" s="473"/>
      <c r="K58" s="473"/>
      <c r="L58" s="150">
        <v>32</v>
      </c>
      <c r="M58" s="125" t="s">
        <v>28</v>
      </c>
      <c r="N58" s="125" t="s">
        <v>283</v>
      </c>
      <c r="O58" s="126" t="s">
        <v>118</v>
      </c>
      <c r="P58" s="137" t="s">
        <v>312</v>
      </c>
      <c r="R58" s="87"/>
      <c r="S58" s="87"/>
      <c r="T58" s="87"/>
      <c r="U58" s="87"/>
      <c r="V58" s="87"/>
      <c r="W58" s="87"/>
      <c r="X58" s="87"/>
    </row>
    <row r="59" spans="1:24">
      <c r="A59" s="428"/>
      <c r="B59" s="436"/>
      <c r="C59" s="447"/>
      <c r="D59" s="467"/>
      <c r="E59" s="473"/>
      <c r="F59" s="473"/>
      <c r="G59" s="473"/>
      <c r="H59" s="473"/>
      <c r="I59" s="473"/>
      <c r="J59" s="473"/>
      <c r="K59" s="473"/>
      <c r="L59" s="150">
        <v>33</v>
      </c>
      <c r="M59" s="125" t="s">
        <v>28</v>
      </c>
      <c r="N59" s="125" t="s">
        <v>283</v>
      </c>
      <c r="O59" s="126" t="s">
        <v>118</v>
      </c>
      <c r="P59" s="141" t="s">
        <v>330</v>
      </c>
      <c r="R59" s="87"/>
      <c r="S59" s="87"/>
      <c r="T59" s="87"/>
      <c r="U59" s="87"/>
      <c r="V59" s="87"/>
      <c r="W59" s="87"/>
      <c r="X59" s="87"/>
    </row>
    <row r="60" spans="1:24">
      <c r="A60" s="428"/>
      <c r="B60" s="436"/>
      <c r="C60" s="447"/>
      <c r="D60" s="467"/>
      <c r="E60" s="473"/>
      <c r="F60" s="473"/>
      <c r="G60" s="473"/>
      <c r="H60" s="473"/>
      <c r="I60" s="473"/>
      <c r="J60" s="473"/>
      <c r="K60" s="473"/>
      <c r="L60" s="150">
        <v>34</v>
      </c>
      <c r="M60" s="125" t="s">
        <v>28</v>
      </c>
      <c r="N60" s="125" t="s">
        <v>283</v>
      </c>
      <c r="O60" s="126" t="s">
        <v>118</v>
      </c>
      <c r="P60" s="137" t="s">
        <v>314</v>
      </c>
      <c r="R60" s="87"/>
      <c r="S60" s="87"/>
      <c r="T60" s="87"/>
      <c r="U60" s="87"/>
      <c r="V60" s="87"/>
      <c r="W60" s="87"/>
      <c r="X60" s="87"/>
    </row>
    <row r="61" spans="1:24">
      <c r="A61" s="428"/>
      <c r="B61" s="436"/>
      <c r="C61" s="447"/>
      <c r="D61" s="467"/>
      <c r="E61" s="473"/>
      <c r="F61" s="473"/>
      <c r="G61" s="473"/>
      <c r="H61" s="473"/>
      <c r="I61" s="473"/>
      <c r="J61" s="473"/>
      <c r="K61" s="473"/>
      <c r="L61" s="150">
        <v>35</v>
      </c>
      <c r="M61" s="125" t="s">
        <v>28</v>
      </c>
      <c r="N61" s="125" t="s">
        <v>283</v>
      </c>
      <c r="O61" s="126" t="s">
        <v>118</v>
      </c>
      <c r="P61" s="137" t="s">
        <v>315</v>
      </c>
      <c r="R61" s="87"/>
      <c r="S61" s="87"/>
      <c r="T61" s="87"/>
      <c r="U61" s="87"/>
      <c r="V61" s="87"/>
      <c r="W61" s="87"/>
      <c r="X61" s="87"/>
    </row>
    <row r="62" spans="1:24">
      <c r="A62" s="428"/>
      <c r="B62" s="436"/>
      <c r="C62" s="447"/>
      <c r="D62" s="467"/>
      <c r="E62" s="473"/>
      <c r="F62" s="473"/>
      <c r="G62" s="473"/>
      <c r="H62" s="473"/>
      <c r="I62" s="473"/>
      <c r="J62" s="473"/>
      <c r="K62" s="473"/>
      <c r="L62" s="150">
        <v>36</v>
      </c>
      <c r="M62" s="125" t="s">
        <v>28</v>
      </c>
      <c r="N62" s="125" t="s">
        <v>283</v>
      </c>
      <c r="O62" s="126" t="s">
        <v>118</v>
      </c>
      <c r="P62" s="137" t="s">
        <v>316</v>
      </c>
      <c r="R62" s="118"/>
      <c r="S62" s="118"/>
      <c r="T62" s="118"/>
      <c r="U62" s="118"/>
      <c r="V62" s="118"/>
      <c r="W62" s="118"/>
      <c r="X62" s="118"/>
    </row>
    <row r="63" spans="1:24" ht="30">
      <c r="A63" s="428"/>
      <c r="B63" s="436"/>
      <c r="C63" s="447"/>
      <c r="D63" s="467"/>
      <c r="E63" s="473"/>
      <c r="F63" s="473"/>
      <c r="G63" s="473"/>
      <c r="H63" s="473"/>
      <c r="I63" s="473"/>
      <c r="J63" s="473"/>
      <c r="K63" s="473"/>
      <c r="L63" s="150">
        <v>37</v>
      </c>
      <c r="M63" s="125" t="s">
        <v>28</v>
      </c>
      <c r="N63" s="125" t="s">
        <v>283</v>
      </c>
      <c r="O63" s="126" t="s">
        <v>132</v>
      </c>
      <c r="P63" s="137" t="s">
        <v>317</v>
      </c>
      <c r="R63" s="118"/>
      <c r="S63" s="118"/>
      <c r="T63" s="118"/>
      <c r="U63" s="118"/>
      <c r="V63" s="118"/>
      <c r="W63" s="118"/>
      <c r="X63" s="118"/>
    </row>
    <row r="64" spans="1:24" ht="24">
      <c r="A64" s="428"/>
      <c r="B64" s="436"/>
      <c r="C64" s="447"/>
      <c r="D64" s="467"/>
      <c r="E64" s="473"/>
      <c r="F64" s="473"/>
      <c r="G64" s="473"/>
      <c r="H64" s="473"/>
      <c r="I64" s="473"/>
      <c r="J64" s="473"/>
      <c r="K64" s="473"/>
      <c r="L64" s="150">
        <v>38</v>
      </c>
      <c r="M64" s="125" t="s">
        <v>28</v>
      </c>
      <c r="N64" s="125" t="s">
        <v>283</v>
      </c>
      <c r="O64" s="126" t="s">
        <v>132</v>
      </c>
      <c r="P64" s="137" t="s">
        <v>331</v>
      </c>
      <c r="R64" s="118"/>
      <c r="S64" s="118"/>
      <c r="T64" s="118"/>
      <c r="U64" s="118"/>
      <c r="V64" s="118"/>
      <c r="W64" s="118"/>
      <c r="X64" s="118"/>
    </row>
    <row r="65" spans="1:24" ht="24">
      <c r="A65" s="428"/>
      <c r="B65" s="436"/>
      <c r="C65" s="447"/>
      <c r="D65" s="467"/>
      <c r="E65" s="473"/>
      <c r="F65" s="473"/>
      <c r="G65" s="473"/>
      <c r="H65" s="473"/>
      <c r="I65" s="473"/>
      <c r="J65" s="473"/>
      <c r="K65" s="473"/>
      <c r="L65" s="150">
        <v>39</v>
      </c>
      <c r="M65" s="125" t="s">
        <v>28</v>
      </c>
      <c r="N65" s="125" t="s">
        <v>283</v>
      </c>
      <c r="O65" s="126" t="s">
        <v>132</v>
      </c>
      <c r="P65" s="137" t="s">
        <v>318</v>
      </c>
      <c r="R65" s="118"/>
      <c r="S65" s="118"/>
      <c r="T65" s="118"/>
      <c r="U65" s="118"/>
      <c r="V65" s="118"/>
      <c r="W65" s="118"/>
      <c r="X65" s="118"/>
    </row>
    <row r="66" spans="1:24">
      <c r="A66" s="428"/>
      <c r="B66" s="436"/>
      <c r="C66" s="447"/>
      <c r="D66" s="467"/>
      <c r="E66" s="473"/>
      <c r="F66" s="473"/>
      <c r="G66" s="473"/>
      <c r="H66" s="473"/>
      <c r="I66" s="473"/>
      <c r="J66" s="473"/>
      <c r="K66" s="473"/>
      <c r="L66" s="150">
        <v>40</v>
      </c>
      <c r="M66" s="125" t="s">
        <v>28</v>
      </c>
      <c r="N66" s="125" t="s">
        <v>283</v>
      </c>
      <c r="O66" s="126" t="s">
        <v>143</v>
      </c>
      <c r="P66" s="137" t="s">
        <v>313</v>
      </c>
      <c r="R66" s="118"/>
      <c r="S66" s="118"/>
      <c r="T66" s="118"/>
      <c r="U66" s="118"/>
      <c r="V66" s="118"/>
      <c r="W66" s="118"/>
      <c r="X66" s="118"/>
    </row>
    <row r="67" spans="1:24">
      <c r="A67" s="428"/>
      <c r="B67" s="436"/>
      <c r="C67" s="447"/>
      <c r="D67" s="467"/>
      <c r="E67" s="473"/>
      <c r="F67" s="473"/>
      <c r="G67" s="473"/>
      <c r="H67" s="473"/>
      <c r="I67" s="473"/>
      <c r="J67" s="473"/>
      <c r="K67" s="473"/>
      <c r="L67" s="150">
        <v>41</v>
      </c>
      <c r="M67" s="125" t="s">
        <v>28</v>
      </c>
      <c r="N67" s="125" t="s">
        <v>284</v>
      </c>
      <c r="O67" s="127" t="s">
        <v>284</v>
      </c>
      <c r="P67" s="137" t="s">
        <v>319</v>
      </c>
      <c r="R67" s="118"/>
      <c r="S67" s="118"/>
      <c r="T67" s="118"/>
      <c r="U67" s="118"/>
      <c r="V67" s="118"/>
      <c r="W67" s="118"/>
      <c r="X67" s="118"/>
    </row>
    <row r="68" spans="1:24">
      <c r="A68" s="428"/>
      <c r="B68" s="436"/>
      <c r="C68" s="447"/>
      <c r="D68" s="467"/>
      <c r="E68" s="473"/>
      <c r="F68" s="473"/>
      <c r="G68" s="473"/>
      <c r="H68" s="473"/>
      <c r="I68" s="473"/>
      <c r="J68" s="473"/>
      <c r="K68" s="473"/>
      <c r="L68" s="150">
        <v>42</v>
      </c>
      <c r="M68" s="125" t="s">
        <v>28</v>
      </c>
      <c r="N68" s="125" t="s">
        <v>284</v>
      </c>
      <c r="O68" s="127" t="s">
        <v>284</v>
      </c>
      <c r="P68" s="137" t="s">
        <v>320</v>
      </c>
      <c r="R68" s="118"/>
      <c r="S68" s="118"/>
      <c r="T68" s="118"/>
      <c r="U68" s="118"/>
      <c r="V68" s="118"/>
      <c r="W68" s="118"/>
      <c r="X68" s="118"/>
    </row>
    <row r="69" spans="1:24">
      <c r="A69" s="428"/>
      <c r="B69" s="436"/>
      <c r="C69" s="447"/>
      <c r="D69" s="467"/>
      <c r="E69" s="473"/>
      <c r="F69" s="473"/>
      <c r="G69" s="473"/>
      <c r="H69" s="473"/>
      <c r="I69" s="473"/>
      <c r="J69" s="473"/>
      <c r="K69" s="473"/>
      <c r="L69" s="150">
        <v>43</v>
      </c>
      <c r="M69" s="125" t="s">
        <v>28</v>
      </c>
      <c r="N69" s="125" t="s">
        <v>284</v>
      </c>
      <c r="O69" s="127" t="s">
        <v>284</v>
      </c>
      <c r="P69" s="137" t="s">
        <v>321</v>
      </c>
      <c r="R69" s="118"/>
      <c r="S69" s="118"/>
      <c r="T69" s="118"/>
      <c r="U69" s="118"/>
      <c r="V69" s="118"/>
      <c r="W69" s="118"/>
      <c r="X69" s="118"/>
    </row>
    <row r="70" spans="1:24">
      <c r="A70" s="428"/>
      <c r="B70" s="436"/>
      <c r="C70" s="447"/>
      <c r="D70" s="467"/>
      <c r="E70" s="473"/>
      <c r="F70" s="473"/>
      <c r="G70" s="473"/>
      <c r="H70" s="473"/>
      <c r="I70" s="473"/>
      <c r="J70" s="473"/>
      <c r="K70" s="473"/>
      <c r="L70" s="150">
        <v>44</v>
      </c>
      <c r="M70" s="125" t="s">
        <v>28</v>
      </c>
      <c r="N70" s="125" t="s">
        <v>284</v>
      </c>
      <c r="O70" s="127" t="s">
        <v>284</v>
      </c>
      <c r="P70" s="141" t="s">
        <v>322</v>
      </c>
      <c r="R70" s="118"/>
      <c r="S70" s="118"/>
      <c r="T70" s="118"/>
      <c r="U70" s="118"/>
      <c r="V70" s="118"/>
      <c r="W70" s="118"/>
      <c r="X70" s="118"/>
    </row>
    <row r="71" spans="1:24">
      <c r="A71" s="428"/>
      <c r="B71" s="436"/>
      <c r="C71" s="447"/>
      <c r="D71" s="467"/>
      <c r="E71" s="473"/>
      <c r="F71" s="473"/>
      <c r="G71" s="473"/>
      <c r="H71" s="473"/>
      <c r="I71" s="473"/>
      <c r="J71" s="473"/>
      <c r="K71" s="473"/>
      <c r="L71" s="150">
        <v>45</v>
      </c>
      <c r="M71" s="125" t="s">
        <v>28</v>
      </c>
      <c r="N71" s="125" t="s">
        <v>284</v>
      </c>
      <c r="O71" s="127" t="s">
        <v>284</v>
      </c>
      <c r="P71" s="137" t="s">
        <v>323</v>
      </c>
      <c r="R71" s="118"/>
      <c r="S71" s="118"/>
      <c r="T71" s="118"/>
      <c r="U71" s="118"/>
      <c r="V71" s="118"/>
      <c r="W71" s="118"/>
      <c r="X71" s="118"/>
    </row>
    <row r="72" spans="1:24">
      <c r="A72" s="428"/>
      <c r="B72" s="436"/>
      <c r="C72" s="447"/>
      <c r="D72" s="467"/>
      <c r="E72" s="473"/>
      <c r="F72" s="473"/>
      <c r="G72" s="473"/>
      <c r="H72" s="473"/>
      <c r="I72" s="473"/>
      <c r="J72" s="473"/>
      <c r="K72" s="473"/>
      <c r="L72" s="150">
        <v>46</v>
      </c>
      <c r="M72" s="125" t="s">
        <v>28</v>
      </c>
      <c r="N72" s="125" t="s">
        <v>284</v>
      </c>
      <c r="O72" s="127" t="s">
        <v>284</v>
      </c>
      <c r="P72" s="137" t="s">
        <v>325</v>
      </c>
      <c r="R72" s="118"/>
      <c r="S72" s="118"/>
      <c r="T72" s="118"/>
      <c r="U72" s="118"/>
      <c r="V72" s="118"/>
      <c r="W72" s="118"/>
      <c r="X72" s="118"/>
    </row>
    <row r="73" spans="1:24">
      <c r="A73" s="428"/>
      <c r="B73" s="436"/>
      <c r="C73" s="447"/>
      <c r="D73" s="467"/>
      <c r="E73" s="473"/>
      <c r="F73" s="473"/>
      <c r="G73" s="473"/>
      <c r="H73" s="473"/>
      <c r="I73" s="473"/>
      <c r="J73" s="473"/>
      <c r="K73" s="473"/>
      <c r="L73" s="150">
        <v>47</v>
      </c>
      <c r="M73" s="125" t="s">
        <v>28</v>
      </c>
      <c r="N73" s="125" t="s">
        <v>284</v>
      </c>
      <c r="O73" s="127" t="s">
        <v>284</v>
      </c>
      <c r="P73" s="141" t="s">
        <v>324</v>
      </c>
      <c r="R73" s="118"/>
      <c r="S73" s="118"/>
      <c r="T73" s="118"/>
      <c r="U73" s="118"/>
      <c r="V73" s="118"/>
      <c r="W73" s="118"/>
      <c r="X73" s="118"/>
    </row>
    <row r="74" spans="1:24">
      <c r="A74" s="428"/>
      <c r="B74" s="436"/>
      <c r="C74" s="447"/>
      <c r="D74" s="467"/>
      <c r="E74" s="473"/>
      <c r="F74" s="473"/>
      <c r="G74" s="473"/>
      <c r="H74" s="473"/>
      <c r="I74" s="473"/>
      <c r="J74" s="473"/>
      <c r="K74" s="473"/>
      <c r="L74" s="150">
        <v>48</v>
      </c>
      <c r="M74" s="125" t="s">
        <v>28</v>
      </c>
      <c r="N74" s="125" t="s">
        <v>284</v>
      </c>
      <c r="O74" s="127" t="s">
        <v>284</v>
      </c>
      <c r="P74" s="141" t="s">
        <v>326</v>
      </c>
      <c r="R74" s="118"/>
      <c r="S74" s="118"/>
      <c r="T74" s="118"/>
      <c r="U74" s="118"/>
      <c r="V74" s="118"/>
      <c r="W74" s="118"/>
      <c r="X74" s="118"/>
    </row>
    <row r="75" spans="1:24" ht="15.75" thickBot="1">
      <c r="A75" s="428"/>
      <c r="B75" s="436"/>
      <c r="C75" s="448"/>
      <c r="D75" s="468"/>
      <c r="E75" s="474"/>
      <c r="F75" s="474"/>
      <c r="G75" s="474"/>
      <c r="H75" s="474"/>
      <c r="I75" s="474"/>
      <c r="J75" s="474"/>
      <c r="K75" s="474"/>
      <c r="L75" s="151">
        <v>49</v>
      </c>
      <c r="M75" s="138" t="s">
        <v>28</v>
      </c>
      <c r="N75" s="138" t="s">
        <v>284</v>
      </c>
      <c r="O75" s="142" t="s">
        <v>284</v>
      </c>
      <c r="P75" s="143" t="s">
        <v>327</v>
      </c>
      <c r="R75" s="118"/>
      <c r="S75" s="118"/>
      <c r="T75" s="118"/>
      <c r="U75" s="118"/>
      <c r="V75" s="118"/>
      <c r="W75" s="118"/>
      <c r="X75" s="118"/>
    </row>
    <row r="76" spans="1:24">
      <c r="A76" s="428"/>
      <c r="B76" s="436"/>
      <c r="C76" s="446" t="str">
        <f>'Step 1 - System Definition'!O6</f>
        <v>Controller</v>
      </c>
      <c r="D76" s="466" t="str">
        <f>'Step 5 - Mitigation Analysis'!F8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76" s="472" t="str">
        <f>'Step 5 - Mitigation Analysis'!I8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76" s="472" t="str">
        <f>'Step 5 - Mitigation Analysis'!L8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76" s="472" t="str">
        <f>'Step 5 - Mitigation Analysis'!O8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76" s="472" t="str">
        <f>'Step 5 - Mitigation Analysis'!R8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76" s="472" t="str">
        <f>'Step 5 - Mitigation Analysis'!U8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76" s="472" t="str">
        <f>'Step 5 - Mitigation Analysis'!X8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76" s="472" t="str">
        <f>'Step 5 - Mitigation Analysis'!AA8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76" s="149">
        <v>50</v>
      </c>
      <c r="M76" s="134" t="s">
        <v>28</v>
      </c>
      <c r="N76" s="134" t="s">
        <v>283</v>
      </c>
      <c r="O76" s="144" t="s">
        <v>118</v>
      </c>
      <c r="P76" s="145" t="s">
        <v>329</v>
      </c>
      <c r="R76" s="118"/>
      <c r="S76" s="118"/>
      <c r="T76" s="118"/>
      <c r="U76" s="118"/>
      <c r="V76" s="118"/>
      <c r="W76" s="118"/>
      <c r="X76" s="118"/>
    </row>
    <row r="77" spans="1:24">
      <c r="A77" s="428"/>
      <c r="B77" s="436"/>
      <c r="C77" s="447"/>
      <c r="D77" s="467"/>
      <c r="E77" s="473"/>
      <c r="F77" s="473"/>
      <c r="G77" s="473"/>
      <c r="H77" s="473"/>
      <c r="I77" s="473"/>
      <c r="J77" s="473"/>
      <c r="K77" s="473"/>
      <c r="L77" s="150">
        <v>51</v>
      </c>
      <c r="M77" s="125" t="s">
        <v>28</v>
      </c>
      <c r="N77" s="125" t="s">
        <v>283</v>
      </c>
      <c r="O77" s="127" t="s">
        <v>118</v>
      </c>
      <c r="P77" s="141" t="s">
        <v>334</v>
      </c>
      <c r="R77" s="118"/>
      <c r="S77" s="118"/>
      <c r="T77" s="118"/>
      <c r="U77" s="118"/>
      <c r="V77" s="118"/>
      <c r="W77" s="118"/>
      <c r="X77" s="118"/>
    </row>
    <row r="78" spans="1:24">
      <c r="A78" s="428"/>
      <c r="B78" s="436"/>
      <c r="C78" s="447"/>
      <c r="D78" s="467"/>
      <c r="E78" s="473"/>
      <c r="F78" s="473"/>
      <c r="G78" s="473"/>
      <c r="H78" s="473"/>
      <c r="I78" s="473"/>
      <c r="J78" s="473"/>
      <c r="K78" s="473"/>
      <c r="L78" s="150">
        <v>52</v>
      </c>
      <c r="M78" s="125" t="s">
        <v>28</v>
      </c>
      <c r="N78" s="125" t="s">
        <v>283</v>
      </c>
      <c r="O78" s="127" t="s">
        <v>118</v>
      </c>
      <c r="P78" s="141" t="s">
        <v>335</v>
      </c>
      <c r="R78" s="118"/>
      <c r="S78" s="118"/>
      <c r="T78" s="118"/>
      <c r="U78" s="118"/>
      <c r="V78" s="118"/>
      <c r="W78" s="118"/>
      <c r="X78" s="118"/>
    </row>
    <row r="79" spans="1:24">
      <c r="A79" s="428"/>
      <c r="B79" s="436"/>
      <c r="C79" s="447"/>
      <c r="D79" s="467"/>
      <c r="E79" s="473"/>
      <c r="F79" s="473"/>
      <c r="G79" s="473"/>
      <c r="H79" s="473"/>
      <c r="I79" s="473"/>
      <c r="J79" s="473"/>
      <c r="K79" s="473"/>
      <c r="L79" s="150">
        <v>53</v>
      </c>
      <c r="M79" s="125" t="s">
        <v>28</v>
      </c>
      <c r="N79" s="125" t="s">
        <v>283</v>
      </c>
      <c r="O79" s="127" t="s">
        <v>118</v>
      </c>
      <c r="P79" s="141" t="s">
        <v>336</v>
      </c>
      <c r="R79" s="118"/>
      <c r="S79" s="118"/>
      <c r="T79" s="118"/>
      <c r="U79" s="118"/>
      <c r="V79" s="118"/>
      <c r="W79" s="118"/>
      <c r="X79" s="118"/>
    </row>
    <row r="80" spans="1:24">
      <c r="A80" s="428"/>
      <c r="B80" s="436"/>
      <c r="C80" s="447"/>
      <c r="D80" s="467"/>
      <c r="E80" s="473"/>
      <c r="F80" s="473"/>
      <c r="G80" s="473"/>
      <c r="H80" s="473"/>
      <c r="I80" s="473"/>
      <c r="J80" s="473"/>
      <c r="K80" s="473"/>
      <c r="L80" s="150">
        <v>54</v>
      </c>
      <c r="M80" s="125" t="s">
        <v>28</v>
      </c>
      <c r="N80" s="125" t="s">
        <v>283</v>
      </c>
      <c r="O80" s="127" t="s">
        <v>118</v>
      </c>
      <c r="P80" s="141" t="s">
        <v>337</v>
      </c>
      <c r="R80" s="118"/>
      <c r="S80" s="118"/>
      <c r="T80" s="118"/>
      <c r="U80" s="118"/>
      <c r="V80" s="118"/>
      <c r="W80" s="118"/>
      <c r="X80" s="118"/>
    </row>
    <row r="81" spans="1:24" ht="30">
      <c r="A81" s="428"/>
      <c r="B81" s="436"/>
      <c r="C81" s="447"/>
      <c r="D81" s="467"/>
      <c r="E81" s="473"/>
      <c r="F81" s="473"/>
      <c r="G81" s="473"/>
      <c r="H81" s="473"/>
      <c r="I81" s="473"/>
      <c r="J81" s="473"/>
      <c r="K81" s="473"/>
      <c r="L81" s="150">
        <v>55</v>
      </c>
      <c r="M81" s="125" t="s">
        <v>28</v>
      </c>
      <c r="N81" s="125" t="s">
        <v>283</v>
      </c>
      <c r="O81" s="127" t="s">
        <v>118</v>
      </c>
      <c r="P81" s="146" t="s">
        <v>338</v>
      </c>
      <c r="R81" s="118"/>
      <c r="S81" s="118"/>
      <c r="T81" s="118"/>
      <c r="U81" s="118"/>
      <c r="V81" s="118"/>
      <c r="W81" s="118"/>
      <c r="X81" s="118"/>
    </row>
    <row r="82" spans="1:24">
      <c r="A82" s="428"/>
      <c r="B82" s="436"/>
      <c r="C82" s="447"/>
      <c r="D82" s="467"/>
      <c r="E82" s="473"/>
      <c r="F82" s="473"/>
      <c r="G82" s="473"/>
      <c r="H82" s="473"/>
      <c r="I82" s="473"/>
      <c r="J82" s="473"/>
      <c r="K82" s="473"/>
      <c r="L82" s="150">
        <v>56</v>
      </c>
      <c r="M82" s="125" t="s">
        <v>28</v>
      </c>
      <c r="N82" s="125" t="s">
        <v>283</v>
      </c>
      <c r="O82" s="127" t="s">
        <v>118</v>
      </c>
      <c r="P82" s="141" t="s">
        <v>339</v>
      </c>
      <c r="R82" s="118"/>
      <c r="S82" s="118"/>
      <c r="T82" s="118"/>
      <c r="U82" s="118"/>
      <c r="V82" s="118"/>
      <c r="W82" s="118"/>
      <c r="X82" s="118"/>
    </row>
    <row r="83" spans="1:24">
      <c r="A83" s="428"/>
      <c r="B83" s="436"/>
      <c r="C83" s="447"/>
      <c r="D83" s="467"/>
      <c r="E83" s="473"/>
      <c r="F83" s="473"/>
      <c r="G83" s="473"/>
      <c r="H83" s="473"/>
      <c r="I83" s="473"/>
      <c r="J83" s="473"/>
      <c r="K83" s="473"/>
      <c r="L83" s="150">
        <v>57</v>
      </c>
      <c r="M83" s="125" t="s">
        <v>28</v>
      </c>
      <c r="N83" s="125" t="s">
        <v>283</v>
      </c>
      <c r="O83" s="127" t="s">
        <v>118</v>
      </c>
      <c r="P83" s="141" t="s">
        <v>340</v>
      </c>
      <c r="R83" s="118"/>
      <c r="S83" s="118"/>
      <c r="T83" s="118"/>
      <c r="U83" s="118"/>
      <c r="V83" s="118"/>
      <c r="W83" s="118"/>
      <c r="X83" s="118"/>
    </row>
    <row r="84" spans="1:24" ht="30">
      <c r="A84" s="428"/>
      <c r="B84" s="436"/>
      <c r="C84" s="447"/>
      <c r="D84" s="467"/>
      <c r="E84" s="473"/>
      <c r="F84" s="473"/>
      <c r="G84" s="473"/>
      <c r="H84" s="473"/>
      <c r="I84" s="473"/>
      <c r="J84" s="473"/>
      <c r="K84" s="473"/>
      <c r="L84" s="150">
        <v>58</v>
      </c>
      <c r="M84" s="125" t="s">
        <v>28</v>
      </c>
      <c r="N84" s="125" t="s">
        <v>283</v>
      </c>
      <c r="O84" s="127" t="s">
        <v>118</v>
      </c>
      <c r="P84" s="146" t="s">
        <v>120</v>
      </c>
      <c r="R84" s="118"/>
      <c r="S84" s="118"/>
      <c r="T84" s="118"/>
      <c r="U84" s="118"/>
      <c r="V84" s="118"/>
      <c r="W84" s="118"/>
      <c r="X84" s="118"/>
    </row>
    <row r="85" spans="1:24" ht="24">
      <c r="A85" s="428"/>
      <c r="B85" s="436"/>
      <c r="C85" s="447"/>
      <c r="D85" s="467"/>
      <c r="E85" s="473"/>
      <c r="F85" s="473"/>
      <c r="G85" s="473"/>
      <c r="H85" s="473"/>
      <c r="I85" s="473"/>
      <c r="J85" s="473"/>
      <c r="K85" s="473"/>
      <c r="L85" s="150">
        <v>59</v>
      </c>
      <c r="M85" s="125" t="s">
        <v>28</v>
      </c>
      <c r="N85" s="125" t="s">
        <v>283</v>
      </c>
      <c r="O85" s="126" t="s">
        <v>132</v>
      </c>
      <c r="P85" s="137" t="s">
        <v>331</v>
      </c>
      <c r="R85" s="118"/>
      <c r="S85" s="118"/>
      <c r="T85" s="118"/>
      <c r="U85" s="118"/>
      <c r="V85" s="118"/>
      <c r="W85" s="118"/>
      <c r="X85" s="118"/>
    </row>
    <row r="86" spans="1:24" ht="24">
      <c r="A86" s="428"/>
      <c r="B86" s="436"/>
      <c r="C86" s="447"/>
      <c r="D86" s="467"/>
      <c r="E86" s="473"/>
      <c r="F86" s="473"/>
      <c r="G86" s="473"/>
      <c r="H86" s="473"/>
      <c r="I86" s="473"/>
      <c r="J86" s="473"/>
      <c r="K86" s="473"/>
      <c r="L86" s="150">
        <v>60</v>
      </c>
      <c r="M86" s="125" t="s">
        <v>28</v>
      </c>
      <c r="N86" s="125" t="s">
        <v>283</v>
      </c>
      <c r="O86" s="126" t="s">
        <v>132</v>
      </c>
      <c r="P86" s="137" t="s">
        <v>318</v>
      </c>
      <c r="R86" s="118"/>
      <c r="S86" s="118"/>
      <c r="T86" s="118"/>
      <c r="U86" s="118"/>
      <c r="V86" s="118"/>
      <c r="W86" s="118"/>
      <c r="X86" s="118"/>
    </row>
    <row r="87" spans="1:24" ht="24">
      <c r="A87" s="428"/>
      <c r="B87" s="436"/>
      <c r="C87" s="447"/>
      <c r="D87" s="467"/>
      <c r="E87" s="473"/>
      <c r="F87" s="473"/>
      <c r="G87" s="473"/>
      <c r="H87" s="473"/>
      <c r="I87" s="473"/>
      <c r="J87" s="473"/>
      <c r="K87" s="473"/>
      <c r="L87" s="150">
        <v>61</v>
      </c>
      <c r="M87" s="125" t="s">
        <v>28</v>
      </c>
      <c r="N87" s="125" t="s">
        <v>283</v>
      </c>
      <c r="O87" s="126" t="s">
        <v>132</v>
      </c>
      <c r="P87" s="121" t="s">
        <v>138</v>
      </c>
      <c r="R87" s="118"/>
      <c r="S87" s="118"/>
      <c r="T87" s="118"/>
      <c r="U87" s="118"/>
      <c r="V87" s="118"/>
      <c r="W87" s="118"/>
      <c r="X87" s="118"/>
    </row>
    <row r="88" spans="1:24">
      <c r="A88" s="428"/>
      <c r="B88" s="436"/>
      <c r="C88" s="447"/>
      <c r="D88" s="467"/>
      <c r="E88" s="473"/>
      <c r="F88" s="473"/>
      <c r="G88" s="473"/>
      <c r="H88" s="473"/>
      <c r="I88" s="473"/>
      <c r="J88" s="473"/>
      <c r="K88" s="473"/>
      <c r="L88" s="150">
        <v>62</v>
      </c>
      <c r="M88" s="125" t="s">
        <v>28</v>
      </c>
      <c r="N88" s="125" t="s">
        <v>283</v>
      </c>
      <c r="O88" s="126" t="s">
        <v>143</v>
      </c>
      <c r="P88" s="137" t="s">
        <v>313</v>
      </c>
      <c r="R88" s="118"/>
      <c r="S88" s="118"/>
      <c r="T88" s="118"/>
      <c r="U88" s="118"/>
      <c r="V88" s="118"/>
      <c r="W88" s="118"/>
      <c r="X88" s="118"/>
    </row>
    <row r="89" spans="1:24">
      <c r="A89" s="428"/>
      <c r="B89" s="436"/>
      <c r="C89" s="447"/>
      <c r="D89" s="467"/>
      <c r="E89" s="473"/>
      <c r="F89" s="473"/>
      <c r="G89" s="473"/>
      <c r="H89" s="473"/>
      <c r="I89" s="473"/>
      <c r="J89" s="473"/>
      <c r="K89" s="473"/>
      <c r="L89" s="150">
        <v>63</v>
      </c>
      <c r="M89" s="125" t="s">
        <v>28</v>
      </c>
      <c r="N89" s="125" t="s">
        <v>284</v>
      </c>
      <c r="O89" s="127" t="s">
        <v>284</v>
      </c>
      <c r="P89" s="137" t="s">
        <v>341</v>
      </c>
      <c r="R89" s="118"/>
      <c r="S89" s="118"/>
      <c r="T89" s="118"/>
      <c r="U89" s="118"/>
      <c r="V89" s="118"/>
      <c r="W89" s="118"/>
      <c r="X89" s="118"/>
    </row>
    <row r="90" spans="1:24">
      <c r="A90" s="428"/>
      <c r="B90" s="436"/>
      <c r="C90" s="447"/>
      <c r="D90" s="467"/>
      <c r="E90" s="473"/>
      <c r="F90" s="473"/>
      <c r="G90" s="473"/>
      <c r="H90" s="473"/>
      <c r="I90" s="473"/>
      <c r="J90" s="473"/>
      <c r="K90" s="473"/>
      <c r="L90" s="150">
        <v>64</v>
      </c>
      <c r="M90" s="125" t="s">
        <v>28</v>
      </c>
      <c r="N90" s="125" t="s">
        <v>284</v>
      </c>
      <c r="O90" s="127" t="s">
        <v>284</v>
      </c>
      <c r="P90" s="137" t="s">
        <v>342</v>
      </c>
      <c r="R90" s="118"/>
      <c r="S90" s="118"/>
      <c r="T90" s="118"/>
      <c r="U90" s="118"/>
      <c r="V90" s="118"/>
      <c r="W90" s="118"/>
      <c r="X90" s="118"/>
    </row>
    <row r="91" spans="1:24">
      <c r="A91" s="428"/>
      <c r="B91" s="436"/>
      <c r="C91" s="447"/>
      <c r="D91" s="467"/>
      <c r="E91" s="473"/>
      <c r="F91" s="473"/>
      <c r="G91" s="473"/>
      <c r="H91" s="473"/>
      <c r="I91" s="473"/>
      <c r="J91" s="473"/>
      <c r="K91" s="473"/>
      <c r="L91" s="150">
        <v>65</v>
      </c>
      <c r="M91" s="125" t="s">
        <v>28</v>
      </c>
      <c r="N91" s="125" t="s">
        <v>284</v>
      </c>
      <c r="O91" s="127" t="s">
        <v>284</v>
      </c>
      <c r="P91" s="137" t="s">
        <v>343</v>
      </c>
      <c r="R91" s="118"/>
      <c r="S91" s="118"/>
      <c r="T91" s="118"/>
      <c r="U91" s="118"/>
      <c r="V91" s="118"/>
      <c r="W91" s="118"/>
      <c r="X91" s="118"/>
    </row>
    <row r="92" spans="1:24">
      <c r="A92" s="428"/>
      <c r="B92" s="436"/>
      <c r="C92" s="447"/>
      <c r="D92" s="467"/>
      <c r="E92" s="473"/>
      <c r="F92" s="473"/>
      <c r="G92" s="473"/>
      <c r="H92" s="473"/>
      <c r="I92" s="473"/>
      <c r="J92" s="473"/>
      <c r="K92" s="473"/>
      <c r="L92" s="150">
        <v>66</v>
      </c>
      <c r="M92" s="125" t="s">
        <v>28</v>
      </c>
      <c r="N92" s="125" t="s">
        <v>284</v>
      </c>
      <c r="O92" s="127" t="s">
        <v>284</v>
      </c>
      <c r="P92" s="141" t="s">
        <v>322</v>
      </c>
      <c r="R92" s="118"/>
      <c r="S92" s="118"/>
      <c r="T92" s="118"/>
      <c r="U92" s="118"/>
      <c r="V92" s="118"/>
      <c r="W92" s="118"/>
      <c r="X92" s="118"/>
    </row>
    <row r="93" spans="1:24">
      <c r="A93" s="428"/>
      <c r="B93" s="436"/>
      <c r="C93" s="447"/>
      <c r="D93" s="467"/>
      <c r="E93" s="473"/>
      <c r="F93" s="473"/>
      <c r="G93" s="473"/>
      <c r="H93" s="473"/>
      <c r="I93" s="473"/>
      <c r="J93" s="473"/>
      <c r="K93" s="473"/>
      <c r="L93" s="150">
        <v>67</v>
      </c>
      <c r="M93" s="125" t="s">
        <v>28</v>
      </c>
      <c r="N93" s="125" t="s">
        <v>284</v>
      </c>
      <c r="O93" s="127" t="s">
        <v>284</v>
      </c>
      <c r="P93" s="137" t="s">
        <v>323</v>
      </c>
      <c r="R93" s="118"/>
      <c r="S93" s="118"/>
      <c r="T93" s="118"/>
      <c r="U93" s="118"/>
      <c r="V93" s="118"/>
      <c r="W93" s="118"/>
      <c r="X93" s="118"/>
    </row>
    <row r="94" spans="1:24">
      <c r="A94" s="428"/>
      <c r="B94" s="436"/>
      <c r="C94" s="447"/>
      <c r="D94" s="467"/>
      <c r="E94" s="473"/>
      <c r="F94" s="473"/>
      <c r="G94" s="473"/>
      <c r="H94" s="473"/>
      <c r="I94" s="473"/>
      <c r="J94" s="473"/>
      <c r="K94" s="473"/>
      <c r="L94" s="150">
        <v>68</v>
      </c>
      <c r="M94" s="125" t="s">
        <v>28</v>
      </c>
      <c r="N94" s="125" t="s">
        <v>284</v>
      </c>
      <c r="O94" s="127" t="s">
        <v>284</v>
      </c>
      <c r="P94" s="137" t="s">
        <v>344</v>
      </c>
      <c r="R94" s="118"/>
      <c r="S94" s="118"/>
      <c r="T94" s="118"/>
      <c r="U94" s="118"/>
      <c r="V94" s="118"/>
      <c r="W94" s="118"/>
      <c r="X94" s="118"/>
    </row>
    <row r="95" spans="1:24">
      <c r="A95" s="428"/>
      <c r="B95" s="436"/>
      <c r="C95" s="447"/>
      <c r="D95" s="467"/>
      <c r="E95" s="473"/>
      <c r="F95" s="473"/>
      <c r="G95" s="473"/>
      <c r="H95" s="473"/>
      <c r="I95" s="473"/>
      <c r="J95" s="473"/>
      <c r="K95" s="473"/>
      <c r="L95" s="150">
        <v>69</v>
      </c>
      <c r="M95" s="125" t="s">
        <v>28</v>
      </c>
      <c r="N95" s="125" t="s">
        <v>284</v>
      </c>
      <c r="O95" s="127" t="s">
        <v>284</v>
      </c>
      <c r="P95" s="141" t="s">
        <v>345</v>
      </c>
      <c r="R95" s="118"/>
      <c r="S95" s="118"/>
      <c r="T95" s="118"/>
      <c r="U95" s="118"/>
      <c r="V95" s="118"/>
      <c r="W95" s="118"/>
      <c r="X95" s="118"/>
    </row>
    <row r="96" spans="1:24" ht="15.75" thickBot="1">
      <c r="A96" s="428"/>
      <c r="B96" s="436"/>
      <c r="C96" s="448"/>
      <c r="D96" s="468"/>
      <c r="E96" s="474"/>
      <c r="F96" s="474"/>
      <c r="G96" s="474"/>
      <c r="H96" s="474"/>
      <c r="I96" s="474"/>
      <c r="J96" s="474"/>
      <c r="K96" s="474"/>
      <c r="L96" s="151">
        <v>70</v>
      </c>
      <c r="M96" s="138" t="s">
        <v>28</v>
      </c>
      <c r="N96" s="138" t="s">
        <v>284</v>
      </c>
      <c r="O96" s="142" t="s">
        <v>284</v>
      </c>
      <c r="P96" s="143" t="s">
        <v>327</v>
      </c>
      <c r="R96" s="118"/>
      <c r="S96" s="118"/>
      <c r="T96" s="118"/>
      <c r="U96" s="118"/>
      <c r="V96" s="118"/>
      <c r="W96" s="118"/>
      <c r="X96" s="118"/>
    </row>
    <row r="97" spans="1:24">
      <c r="A97" s="428"/>
      <c r="B97" s="436"/>
      <c r="C97" s="446" t="str">
        <f>'Step 1 - System Definition'!O7</f>
        <v>Sensor(s)</v>
      </c>
      <c r="D97" s="466" t="str">
        <f>'Step 5 - Mitigation Analysis'!F9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97" s="472" t="str">
        <f>'Step 5 - Mitigation Analysis'!I9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97" s="472" t="str">
        <f>'Step 5 - Mitigation Analysis'!L9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97" s="472" t="str">
        <f>'Step 5 - Mitigation Analysis'!O9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97" s="472" t="str">
        <f>'Step 5 - Mitigation Analysis'!R9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97" s="472" t="str">
        <f>'Step 5 - Mitigation Analysis'!U9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97" s="472" t="str">
        <f>'Step 5 - Mitigation Analysis'!X9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97" s="472" t="str">
        <f>'Step 5 - Mitigation Analysis'!AA9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97" s="149">
        <v>71</v>
      </c>
      <c r="M97" s="134" t="s">
        <v>28</v>
      </c>
      <c r="N97" s="134" t="s">
        <v>283</v>
      </c>
      <c r="O97" s="135" t="s">
        <v>118</v>
      </c>
      <c r="P97" s="136" t="s">
        <v>346</v>
      </c>
      <c r="R97" s="118"/>
      <c r="S97" s="118"/>
      <c r="T97" s="118"/>
      <c r="U97" s="118"/>
      <c r="V97" s="118"/>
      <c r="W97" s="118"/>
      <c r="X97" s="118"/>
    </row>
    <row r="98" spans="1:24">
      <c r="A98" s="428"/>
      <c r="B98" s="436"/>
      <c r="C98" s="447"/>
      <c r="D98" s="467"/>
      <c r="E98" s="473"/>
      <c r="F98" s="473"/>
      <c r="G98" s="473"/>
      <c r="H98" s="473"/>
      <c r="I98" s="473"/>
      <c r="J98" s="473"/>
      <c r="K98" s="473"/>
      <c r="L98" s="150">
        <v>72</v>
      </c>
      <c r="M98" s="125" t="s">
        <v>28</v>
      </c>
      <c r="N98" s="125" t="s">
        <v>283</v>
      </c>
      <c r="O98" s="126" t="s">
        <v>118</v>
      </c>
      <c r="P98" s="137" t="s">
        <v>347</v>
      </c>
      <c r="R98" s="118"/>
      <c r="S98" s="118"/>
      <c r="T98" s="118"/>
      <c r="U98" s="118"/>
      <c r="V98" s="118"/>
      <c r="W98" s="118"/>
      <c r="X98" s="118"/>
    </row>
    <row r="99" spans="1:24">
      <c r="A99" s="428"/>
      <c r="B99" s="436"/>
      <c r="C99" s="447"/>
      <c r="D99" s="467"/>
      <c r="E99" s="473"/>
      <c r="F99" s="473"/>
      <c r="G99" s="473"/>
      <c r="H99" s="473"/>
      <c r="I99" s="473"/>
      <c r="J99" s="473"/>
      <c r="K99" s="473"/>
      <c r="L99" s="150">
        <v>73</v>
      </c>
      <c r="M99" s="125" t="s">
        <v>28</v>
      </c>
      <c r="N99" s="125" t="s">
        <v>283</v>
      </c>
      <c r="O99" s="126" t="s">
        <v>118</v>
      </c>
      <c r="P99" s="137" t="s">
        <v>348</v>
      </c>
      <c r="R99" s="118"/>
      <c r="S99" s="118"/>
      <c r="T99" s="118"/>
      <c r="U99" s="118"/>
      <c r="V99" s="118"/>
      <c r="W99" s="118"/>
      <c r="X99" s="118"/>
    </row>
    <row r="100" spans="1:24">
      <c r="A100" s="428"/>
      <c r="B100" s="436"/>
      <c r="C100" s="447"/>
      <c r="D100" s="467"/>
      <c r="E100" s="473"/>
      <c r="F100" s="473"/>
      <c r="G100" s="473"/>
      <c r="H100" s="473"/>
      <c r="I100" s="473"/>
      <c r="J100" s="473"/>
      <c r="K100" s="473"/>
      <c r="L100" s="150">
        <v>74</v>
      </c>
      <c r="M100" s="125" t="s">
        <v>28</v>
      </c>
      <c r="N100" s="125" t="s">
        <v>283</v>
      </c>
      <c r="O100" s="126" t="s">
        <v>118</v>
      </c>
      <c r="P100" s="121" t="s">
        <v>349</v>
      </c>
      <c r="R100" s="118"/>
      <c r="S100" s="118"/>
      <c r="T100" s="118"/>
      <c r="U100" s="118"/>
      <c r="V100" s="118"/>
      <c r="W100" s="118"/>
      <c r="X100" s="118"/>
    </row>
    <row r="101" spans="1:24">
      <c r="A101" s="428"/>
      <c r="B101" s="436"/>
      <c r="C101" s="447"/>
      <c r="D101" s="467"/>
      <c r="E101" s="473"/>
      <c r="F101" s="473"/>
      <c r="G101" s="473"/>
      <c r="H101" s="473"/>
      <c r="I101" s="473"/>
      <c r="J101" s="473"/>
      <c r="K101" s="473"/>
      <c r="L101" s="150">
        <v>75</v>
      </c>
      <c r="M101" s="125" t="s">
        <v>28</v>
      </c>
      <c r="N101" s="125" t="s">
        <v>283</v>
      </c>
      <c r="O101" s="126" t="s">
        <v>118</v>
      </c>
      <c r="P101" s="137" t="s">
        <v>351</v>
      </c>
      <c r="R101" s="118"/>
      <c r="S101" s="118"/>
      <c r="T101" s="118"/>
      <c r="U101" s="118"/>
      <c r="V101" s="118"/>
      <c r="W101" s="118"/>
      <c r="X101" s="118"/>
    </row>
    <row r="102" spans="1:24" ht="24">
      <c r="A102" s="428"/>
      <c r="B102" s="436"/>
      <c r="C102" s="447"/>
      <c r="D102" s="467"/>
      <c r="E102" s="473"/>
      <c r="F102" s="473"/>
      <c r="G102" s="473"/>
      <c r="H102" s="473"/>
      <c r="I102" s="473"/>
      <c r="J102" s="473"/>
      <c r="K102" s="473"/>
      <c r="L102" s="150">
        <v>76</v>
      </c>
      <c r="M102" s="125" t="s">
        <v>28</v>
      </c>
      <c r="N102" s="125" t="s">
        <v>283</v>
      </c>
      <c r="O102" s="126" t="s">
        <v>132</v>
      </c>
      <c r="P102" s="121" t="s">
        <v>133</v>
      </c>
      <c r="R102" s="118"/>
      <c r="S102" s="118"/>
      <c r="T102" s="118"/>
      <c r="U102" s="118"/>
      <c r="V102" s="118"/>
      <c r="W102" s="118"/>
      <c r="X102" s="118"/>
    </row>
    <row r="103" spans="1:24" ht="24">
      <c r="A103" s="428"/>
      <c r="B103" s="436"/>
      <c r="C103" s="447"/>
      <c r="D103" s="467"/>
      <c r="E103" s="473"/>
      <c r="F103" s="473"/>
      <c r="G103" s="473"/>
      <c r="H103" s="473"/>
      <c r="I103" s="473"/>
      <c r="J103" s="473"/>
      <c r="K103" s="473"/>
      <c r="L103" s="150">
        <v>77</v>
      </c>
      <c r="M103" s="125" t="s">
        <v>28</v>
      </c>
      <c r="N103" s="125" t="s">
        <v>283</v>
      </c>
      <c r="O103" s="126" t="s">
        <v>132</v>
      </c>
      <c r="P103" s="121" t="s">
        <v>134</v>
      </c>
      <c r="R103" s="118"/>
      <c r="S103" s="118"/>
      <c r="T103" s="118"/>
      <c r="U103" s="118"/>
      <c r="V103" s="118"/>
      <c r="W103" s="118"/>
      <c r="X103" s="118"/>
    </row>
    <row r="104" spans="1:24" ht="24">
      <c r="A104" s="428"/>
      <c r="B104" s="436"/>
      <c r="C104" s="447"/>
      <c r="D104" s="467"/>
      <c r="E104" s="473"/>
      <c r="F104" s="473"/>
      <c r="G104" s="473"/>
      <c r="H104" s="473"/>
      <c r="I104" s="473"/>
      <c r="J104" s="473"/>
      <c r="K104" s="473"/>
      <c r="L104" s="150">
        <v>78</v>
      </c>
      <c r="M104" s="125" t="s">
        <v>28</v>
      </c>
      <c r="N104" s="125" t="s">
        <v>283</v>
      </c>
      <c r="O104" s="126" t="s">
        <v>132</v>
      </c>
      <c r="P104" s="121" t="s">
        <v>135</v>
      </c>
      <c r="R104" s="118"/>
      <c r="S104" s="118"/>
      <c r="T104" s="118"/>
      <c r="U104" s="118"/>
      <c r="V104" s="118"/>
      <c r="W104" s="118"/>
      <c r="X104" s="118"/>
    </row>
    <row r="105" spans="1:24" ht="24">
      <c r="A105" s="428"/>
      <c r="B105" s="436"/>
      <c r="C105" s="447"/>
      <c r="D105" s="467"/>
      <c r="E105" s="473"/>
      <c r="F105" s="473"/>
      <c r="G105" s="473"/>
      <c r="H105" s="473"/>
      <c r="I105" s="473"/>
      <c r="J105" s="473"/>
      <c r="K105" s="473"/>
      <c r="L105" s="150">
        <v>79</v>
      </c>
      <c r="M105" s="125" t="s">
        <v>28</v>
      </c>
      <c r="N105" s="125" t="s">
        <v>283</v>
      </c>
      <c r="O105" s="126" t="s">
        <v>132</v>
      </c>
      <c r="P105" s="121" t="s">
        <v>136</v>
      </c>
      <c r="R105" s="118"/>
      <c r="S105" s="118"/>
      <c r="T105" s="118"/>
      <c r="U105" s="118"/>
      <c r="V105" s="118"/>
      <c r="W105" s="118"/>
      <c r="X105" s="118"/>
    </row>
    <row r="106" spans="1:24">
      <c r="A106" s="428"/>
      <c r="B106" s="436"/>
      <c r="C106" s="447"/>
      <c r="D106" s="467"/>
      <c r="E106" s="473"/>
      <c r="F106" s="473"/>
      <c r="G106" s="473"/>
      <c r="H106" s="473"/>
      <c r="I106" s="473"/>
      <c r="J106" s="473"/>
      <c r="K106" s="473"/>
      <c r="L106" s="150">
        <v>80</v>
      </c>
      <c r="M106" s="125" t="s">
        <v>28</v>
      </c>
      <c r="N106" s="125" t="s">
        <v>283</v>
      </c>
      <c r="O106" s="126" t="s">
        <v>145</v>
      </c>
      <c r="P106" s="137" t="s">
        <v>350</v>
      </c>
      <c r="R106" s="118"/>
      <c r="S106" s="118"/>
      <c r="T106" s="118"/>
      <c r="U106" s="118"/>
      <c r="V106" s="118"/>
      <c r="W106" s="118"/>
      <c r="X106" s="118"/>
    </row>
    <row r="107" spans="1:24">
      <c r="A107" s="428"/>
      <c r="B107" s="436"/>
      <c r="C107" s="464"/>
      <c r="D107" s="467"/>
      <c r="E107" s="473"/>
      <c r="F107" s="473"/>
      <c r="G107" s="473"/>
      <c r="H107" s="473"/>
      <c r="I107" s="473"/>
      <c r="J107" s="473"/>
      <c r="K107" s="473"/>
      <c r="L107" s="150">
        <v>81</v>
      </c>
      <c r="M107" s="125" t="s">
        <v>28</v>
      </c>
      <c r="N107" s="125" t="s">
        <v>283</v>
      </c>
      <c r="O107" s="126" t="s">
        <v>158</v>
      </c>
      <c r="P107" s="121" t="s">
        <v>356</v>
      </c>
      <c r="R107" s="118"/>
      <c r="S107" s="118"/>
      <c r="T107" s="118"/>
      <c r="U107" s="118"/>
      <c r="V107" s="118"/>
      <c r="W107" s="118"/>
      <c r="X107" s="118"/>
    </row>
    <row r="108" spans="1:24" ht="15.75" thickBot="1">
      <c r="A108" s="428"/>
      <c r="B108" s="436"/>
      <c r="C108" s="448"/>
      <c r="D108" s="468"/>
      <c r="E108" s="474"/>
      <c r="F108" s="474"/>
      <c r="G108" s="474"/>
      <c r="H108" s="474"/>
      <c r="I108" s="474"/>
      <c r="J108" s="474"/>
      <c r="K108" s="474"/>
      <c r="L108" s="151">
        <v>82</v>
      </c>
      <c r="M108" s="138" t="s">
        <v>28</v>
      </c>
      <c r="N108" s="138" t="s">
        <v>283</v>
      </c>
      <c r="O108" s="139" t="s">
        <v>143</v>
      </c>
      <c r="P108" s="140" t="s">
        <v>357</v>
      </c>
      <c r="R108" s="118"/>
      <c r="S108" s="118"/>
      <c r="T108" s="118"/>
      <c r="U108" s="118"/>
      <c r="V108" s="118"/>
      <c r="W108" s="118"/>
      <c r="X108" s="118"/>
    </row>
    <row r="109" spans="1:24" ht="30">
      <c r="A109" s="428"/>
      <c r="B109" s="436" t="s">
        <v>33</v>
      </c>
      <c r="C109" s="424" t="str">
        <f>'Step 1 - System Definition'!O8</f>
        <v>Battery Thermal Regulation</v>
      </c>
      <c r="D109" s="466" t="str">
        <f>'Step 5 - Mitigation Analysis'!F10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109" s="472" t="str">
        <f>'Step 5 - Mitigation Analysis'!I10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109" s="472" t="str">
        <f>'Step 5 - Mitigation Analysis'!L10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109" s="472" t="str">
        <f>'Step 5 - Mitigation Analysis'!O10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109" s="472" t="str">
        <f>'Step 5 - Mitigation Analysis'!R10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109" s="472" t="str">
        <f>'Step 5 - Mitigation Analysis'!U10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109" s="472" t="str">
        <f>'Step 5 - Mitigation Analysis'!X10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109" s="472" t="str">
        <f>'Step 5 - Mitigation Analysis'!AA10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109" s="149">
        <v>83</v>
      </c>
      <c r="M109" s="134" t="s">
        <v>28</v>
      </c>
      <c r="N109" s="134" t="s">
        <v>283</v>
      </c>
      <c r="O109" s="135" t="s">
        <v>118</v>
      </c>
      <c r="P109" s="136" t="s">
        <v>124</v>
      </c>
      <c r="R109" s="118"/>
      <c r="S109" s="118"/>
      <c r="T109" s="118"/>
      <c r="U109" s="118"/>
      <c r="V109" s="118"/>
      <c r="W109" s="118"/>
      <c r="X109" s="118"/>
    </row>
    <row r="110" spans="1:24" ht="30">
      <c r="A110" s="428"/>
      <c r="B110" s="436"/>
      <c r="C110" s="425"/>
      <c r="D110" s="467"/>
      <c r="E110" s="473"/>
      <c r="F110" s="473"/>
      <c r="G110" s="473"/>
      <c r="H110" s="473"/>
      <c r="I110" s="473"/>
      <c r="J110" s="473"/>
      <c r="K110" s="473"/>
      <c r="L110" s="150">
        <v>84</v>
      </c>
      <c r="M110" s="125" t="s">
        <v>28</v>
      </c>
      <c r="N110" s="125" t="s">
        <v>283</v>
      </c>
      <c r="O110" s="126" t="s">
        <v>118</v>
      </c>
      <c r="P110" s="137" t="s">
        <v>126</v>
      </c>
      <c r="R110" s="118"/>
      <c r="S110" s="118"/>
      <c r="T110" s="118"/>
      <c r="U110" s="118"/>
      <c r="V110" s="118"/>
      <c r="W110" s="118"/>
      <c r="X110" s="118"/>
    </row>
    <row r="111" spans="1:24" ht="45">
      <c r="A111" s="428"/>
      <c r="B111" s="436"/>
      <c r="C111" s="425"/>
      <c r="D111" s="467"/>
      <c r="E111" s="473"/>
      <c r="F111" s="473"/>
      <c r="G111" s="473"/>
      <c r="H111" s="473"/>
      <c r="I111" s="473"/>
      <c r="J111" s="473"/>
      <c r="K111" s="473"/>
      <c r="L111" s="150">
        <v>85</v>
      </c>
      <c r="M111" s="125" t="s">
        <v>28</v>
      </c>
      <c r="N111" s="125" t="s">
        <v>283</v>
      </c>
      <c r="O111" s="126" t="s">
        <v>118</v>
      </c>
      <c r="P111" s="137" t="s">
        <v>128</v>
      </c>
      <c r="R111" s="118"/>
      <c r="S111" s="118"/>
      <c r="T111" s="118"/>
      <c r="U111" s="118"/>
      <c r="V111" s="118"/>
      <c r="W111" s="118"/>
      <c r="X111" s="118"/>
    </row>
    <row r="112" spans="1:24" ht="45">
      <c r="A112" s="428"/>
      <c r="B112" s="436"/>
      <c r="C112" s="425"/>
      <c r="D112" s="467"/>
      <c r="E112" s="473"/>
      <c r="F112" s="473"/>
      <c r="G112" s="473"/>
      <c r="H112" s="473"/>
      <c r="I112" s="473"/>
      <c r="J112" s="473"/>
      <c r="K112" s="473"/>
      <c r="L112" s="150">
        <v>86</v>
      </c>
      <c r="M112" s="125" t="s">
        <v>28</v>
      </c>
      <c r="N112" s="125" t="s">
        <v>283</v>
      </c>
      <c r="O112" s="126" t="s">
        <v>118</v>
      </c>
      <c r="P112" s="137" t="s">
        <v>129</v>
      </c>
      <c r="R112" s="118"/>
      <c r="S112" s="118"/>
      <c r="T112" s="118"/>
      <c r="U112" s="118"/>
      <c r="V112" s="118"/>
      <c r="W112" s="118"/>
      <c r="X112" s="118"/>
    </row>
    <row r="113" spans="1:24" ht="60">
      <c r="A113" s="428"/>
      <c r="B113" s="436"/>
      <c r="C113" s="425"/>
      <c r="D113" s="467"/>
      <c r="E113" s="473"/>
      <c r="F113" s="473"/>
      <c r="G113" s="473"/>
      <c r="H113" s="473"/>
      <c r="I113" s="473"/>
      <c r="J113" s="473"/>
      <c r="K113" s="473"/>
      <c r="L113" s="150">
        <v>87</v>
      </c>
      <c r="M113" s="125" t="s">
        <v>28</v>
      </c>
      <c r="N113" s="125" t="s">
        <v>283</v>
      </c>
      <c r="O113" s="126" t="s">
        <v>118</v>
      </c>
      <c r="P113" s="137" t="s">
        <v>130</v>
      </c>
      <c r="R113" s="118"/>
      <c r="S113" s="118"/>
      <c r="T113" s="118"/>
      <c r="U113" s="118"/>
      <c r="V113" s="118"/>
      <c r="W113" s="118"/>
      <c r="X113" s="118"/>
    </row>
    <row r="114" spans="1:24" ht="45">
      <c r="A114" s="428"/>
      <c r="B114" s="436"/>
      <c r="C114" s="425"/>
      <c r="D114" s="467"/>
      <c r="E114" s="473"/>
      <c r="F114" s="473"/>
      <c r="G114" s="473"/>
      <c r="H114" s="473"/>
      <c r="I114" s="473"/>
      <c r="J114" s="473"/>
      <c r="K114" s="473"/>
      <c r="L114" s="150">
        <v>88</v>
      </c>
      <c r="M114" s="125" t="s">
        <v>28</v>
      </c>
      <c r="N114" s="125" t="s">
        <v>283</v>
      </c>
      <c r="O114" s="126" t="s">
        <v>118</v>
      </c>
      <c r="P114" s="137" t="s">
        <v>131</v>
      </c>
      <c r="R114" s="118"/>
      <c r="S114" s="118"/>
      <c r="T114" s="118"/>
      <c r="U114" s="118"/>
      <c r="V114" s="118"/>
      <c r="W114" s="118"/>
      <c r="X114" s="118"/>
    </row>
    <row r="115" spans="1:24">
      <c r="A115" s="428"/>
      <c r="B115" s="436"/>
      <c r="C115" s="425"/>
      <c r="D115" s="467"/>
      <c r="E115" s="473"/>
      <c r="F115" s="473"/>
      <c r="G115" s="473"/>
      <c r="H115" s="473"/>
      <c r="I115" s="473"/>
      <c r="J115" s="473"/>
      <c r="K115" s="473"/>
      <c r="L115" s="150">
        <v>89</v>
      </c>
      <c r="M115" s="125" t="s">
        <v>28</v>
      </c>
      <c r="N115" s="128"/>
      <c r="O115" s="126"/>
      <c r="P115" s="137"/>
      <c r="R115" s="118"/>
      <c r="S115" s="118"/>
      <c r="T115" s="118"/>
      <c r="U115" s="118"/>
      <c r="V115" s="118"/>
      <c r="W115" s="118"/>
      <c r="X115" s="118"/>
    </row>
    <row r="116" spans="1:24">
      <c r="A116" s="428"/>
      <c r="B116" s="436"/>
      <c r="C116" s="425"/>
      <c r="D116" s="467"/>
      <c r="E116" s="473"/>
      <c r="F116" s="473"/>
      <c r="G116" s="473"/>
      <c r="H116" s="473"/>
      <c r="I116" s="473"/>
      <c r="J116" s="473"/>
      <c r="K116" s="473"/>
      <c r="L116" s="150">
        <v>90</v>
      </c>
      <c r="M116" s="130" t="s">
        <v>28</v>
      </c>
      <c r="N116" s="128"/>
      <c r="O116" s="126"/>
      <c r="P116" s="137"/>
      <c r="R116" s="118"/>
      <c r="S116" s="118"/>
      <c r="T116" s="118"/>
      <c r="U116" s="118"/>
      <c r="V116" s="118"/>
      <c r="W116" s="118"/>
      <c r="X116" s="118"/>
    </row>
    <row r="117" spans="1:24">
      <c r="A117" s="428"/>
      <c r="B117" s="436"/>
      <c r="C117" s="425"/>
      <c r="D117" s="467"/>
      <c r="E117" s="473"/>
      <c r="F117" s="473"/>
      <c r="G117" s="473"/>
      <c r="H117" s="473"/>
      <c r="I117" s="473"/>
      <c r="J117" s="473"/>
      <c r="K117" s="473"/>
      <c r="L117" s="150">
        <v>91</v>
      </c>
      <c r="M117" s="125" t="s">
        <v>28</v>
      </c>
      <c r="N117" s="128"/>
      <c r="O117" s="126"/>
      <c r="P117" s="137"/>
      <c r="R117" s="118"/>
      <c r="S117" s="118"/>
      <c r="T117" s="118"/>
      <c r="U117" s="118"/>
      <c r="V117" s="118"/>
      <c r="W117" s="118"/>
      <c r="X117" s="118"/>
    </row>
    <row r="118" spans="1:24">
      <c r="A118" s="428"/>
      <c r="B118" s="436"/>
      <c r="C118" s="425"/>
      <c r="D118" s="467"/>
      <c r="E118" s="473"/>
      <c r="F118" s="473"/>
      <c r="G118" s="473"/>
      <c r="H118" s="473"/>
      <c r="I118" s="473"/>
      <c r="J118" s="473"/>
      <c r="K118" s="473"/>
      <c r="L118" s="150">
        <v>92</v>
      </c>
      <c r="M118" s="125" t="s">
        <v>28</v>
      </c>
      <c r="N118" s="128"/>
      <c r="O118" s="126"/>
      <c r="P118" s="137"/>
      <c r="R118" s="118"/>
      <c r="S118" s="118"/>
      <c r="T118" s="118"/>
      <c r="U118" s="118"/>
      <c r="V118" s="118"/>
      <c r="W118" s="118"/>
      <c r="X118" s="118"/>
    </row>
    <row r="119" spans="1:24" ht="15.75" thickBot="1">
      <c r="A119" s="428"/>
      <c r="B119" s="436"/>
      <c r="C119" s="426"/>
      <c r="D119" s="468"/>
      <c r="E119" s="474"/>
      <c r="F119" s="474"/>
      <c r="G119" s="474"/>
      <c r="H119" s="474"/>
      <c r="I119" s="474"/>
      <c r="J119" s="474"/>
      <c r="K119" s="474"/>
      <c r="L119" s="151">
        <v>93</v>
      </c>
      <c r="M119" s="138" t="s">
        <v>28</v>
      </c>
      <c r="N119" s="148"/>
      <c r="O119" s="139"/>
      <c r="P119" s="140"/>
      <c r="R119" s="118"/>
      <c r="S119" s="118"/>
      <c r="T119" s="118"/>
      <c r="U119" s="118"/>
      <c r="V119" s="118"/>
      <c r="W119" s="118"/>
      <c r="X119" s="118"/>
    </row>
    <row r="120" spans="1:24" ht="30">
      <c r="A120" s="428"/>
      <c r="B120" s="436"/>
      <c r="C120" s="424" t="str">
        <f>'Step 1 - System Definition'!O9</f>
        <v>Rack Thermal Regulation</v>
      </c>
      <c r="D120" s="466" t="str">
        <f>'Step 5 - Mitigation Analysis'!F11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120" s="472" t="str">
        <f>'Step 5 - Mitigation Analysis'!I11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120" s="472" t="str">
        <f>'Step 5 - Mitigation Analysis'!L11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120" s="472" t="str">
        <f>'Step 5 - Mitigation Analysis'!O11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120" s="472" t="str">
        <f>'Step 5 - Mitigation Analysis'!R11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120" s="472" t="str">
        <f>'Step 5 - Mitigation Analysis'!U11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120" s="472" t="str">
        <f>'Step 5 - Mitigation Analysis'!X11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120" s="472" t="str">
        <f>'Step 5 - Mitigation Analysis'!AA11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120" s="149">
        <v>94</v>
      </c>
      <c r="M120" s="134" t="s">
        <v>28</v>
      </c>
      <c r="N120" s="134" t="s">
        <v>283</v>
      </c>
      <c r="O120" s="135" t="s">
        <v>118</v>
      </c>
      <c r="P120" s="120" t="s">
        <v>301</v>
      </c>
      <c r="R120" s="118"/>
      <c r="S120" s="118"/>
      <c r="T120" s="118"/>
      <c r="U120" s="118"/>
      <c r="V120" s="118"/>
      <c r="W120" s="118"/>
      <c r="X120" s="118"/>
    </row>
    <row r="121" spans="1:24" ht="30">
      <c r="A121" s="428"/>
      <c r="B121" s="436"/>
      <c r="C121" s="425"/>
      <c r="D121" s="467"/>
      <c r="E121" s="473"/>
      <c r="F121" s="473"/>
      <c r="G121" s="473"/>
      <c r="H121" s="473"/>
      <c r="I121" s="473"/>
      <c r="J121" s="473"/>
      <c r="K121" s="473"/>
      <c r="L121" s="150">
        <v>95</v>
      </c>
      <c r="M121" s="125" t="s">
        <v>28</v>
      </c>
      <c r="N121" s="125" t="s">
        <v>283</v>
      </c>
      <c r="O121" s="126" t="s">
        <v>118</v>
      </c>
      <c r="P121" s="121" t="s">
        <v>124</v>
      </c>
      <c r="R121" s="118"/>
      <c r="S121" s="118"/>
      <c r="T121" s="118"/>
      <c r="U121" s="118"/>
      <c r="V121" s="118"/>
      <c r="W121" s="118"/>
      <c r="X121" s="118"/>
    </row>
    <row r="122" spans="1:24" ht="30">
      <c r="A122" s="428"/>
      <c r="B122" s="436"/>
      <c r="C122" s="425"/>
      <c r="D122" s="467"/>
      <c r="E122" s="473"/>
      <c r="F122" s="473"/>
      <c r="G122" s="473"/>
      <c r="H122" s="473"/>
      <c r="I122" s="473"/>
      <c r="J122" s="473"/>
      <c r="K122" s="473"/>
      <c r="L122" s="150">
        <v>96</v>
      </c>
      <c r="M122" s="125" t="s">
        <v>28</v>
      </c>
      <c r="N122" s="125" t="s">
        <v>283</v>
      </c>
      <c r="O122" s="126" t="s">
        <v>118</v>
      </c>
      <c r="P122" s="121" t="s">
        <v>126</v>
      </c>
      <c r="R122" s="118"/>
      <c r="S122" s="118"/>
      <c r="T122" s="118"/>
      <c r="U122" s="118"/>
      <c r="V122" s="118"/>
      <c r="W122" s="118"/>
      <c r="X122" s="118"/>
    </row>
    <row r="123" spans="1:24" ht="45">
      <c r="A123" s="428"/>
      <c r="B123" s="436"/>
      <c r="C123" s="425"/>
      <c r="D123" s="467"/>
      <c r="E123" s="473"/>
      <c r="F123" s="473"/>
      <c r="G123" s="473"/>
      <c r="H123" s="473"/>
      <c r="I123" s="473"/>
      <c r="J123" s="473"/>
      <c r="K123" s="473"/>
      <c r="L123" s="150">
        <v>97</v>
      </c>
      <c r="M123" s="130" t="s">
        <v>28</v>
      </c>
      <c r="N123" s="125" t="s">
        <v>283</v>
      </c>
      <c r="O123" s="126" t="s">
        <v>118</v>
      </c>
      <c r="P123" s="121" t="s">
        <v>128</v>
      </c>
      <c r="R123" s="118"/>
      <c r="S123" s="118"/>
      <c r="T123" s="118"/>
      <c r="U123" s="118"/>
      <c r="V123" s="118"/>
      <c r="W123" s="118"/>
      <c r="X123" s="118"/>
    </row>
    <row r="124" spans="1:24" ht="45">
      <c r="A124" s="428"/>
      <c r="B124" s="436"/>
      <c r="C124" s="425"/>
      <c r="D124" s="467"/>
      <c r="E124" s="473"/>
      <c r="F124" s="473"/>
      <c r="G124" s="473"/>
      <c r="H124" s="473"/>
      <c r="I124" s="473"/>
      <c r="J124" s="473"/>
      <c r="K124" s="473"/>
      <c r="L124" s="150">
        <v>98</v>
      </c>
      <c r="M124" s="125" t="s">
        <v>28</v>
      </c>
      <c r="N124" s="125" t="s">
        <v>283</v>
      </c>
      <c r="O124" s="126" t="s">
        <v>118</v>
      </c>
      <c r="P124" s="121" t="s">
        <v>129</v>
      </c>
      <c r="R124" s="118"/>
      <c r="S124" s="118"/>
      <c r="T124" s="118"/>
      <c r="U124" s="118"/>
      <c r="V124" s="118"/>
      <c r="W124" s="118"/>
      <c r="X124" s="118"/>
    </row>
    <row r="125" spans="1:24" ht="60">
      <c r="A125" s="428"/>
      <c r="B125" s="436"/>
      <c r="C125" s="425"/>
      <c r="D125" s="467"/>
      <c r="E125" s="473"/>
      <c r="F125" s="473"/>
      <c r="G125" s="473"/>
      <c r="H125" s="473"/>
      <c r="I125" s="473"/>
      <c r="J125" s="473"/>
      <c r="K125" s="473"/>
      <c r="L125" s="150">
        <v>99</v>
      </c>
      <c r="M125" s="125" t="s">
        <v>28</v>
      </c>
      <c r="N125" s="125" t="s">
        <v>283</v>
      </c>
      <c r="O125" s="126" t="s">
        <v>118</v>
      </c>
      <c r="P125" s="121" t="s">
        <v>130</v>
      </c>
      <c r="R125" s="118"/>
      <c r="S125" s="118"/>
      <c r="T125" s="118"/>
      <c r="U125" s="118"/>
      <c r="V125" s="118"/>
      <c r="W125" s="118"/>
      <c r="X125" s="118"/>
    </row>
    <row r="126" spans="1:24" ht="45">
      <c r="A126" s="428"/>
      <c r="B126" s="436"/>
      <c r="C126" s="425"/>
      <c r="D126" s="467"/>
      <c r="E126" s="473"/>
      <c r="F126" s="473"/>
      <c r="G126" s="473"/>
      <c r="H126" s="473"/>
      <c r="I126" s="473"/>
      <c r="J126" s="473"/>
      <c r="K126" s="473"/>
      <c r="L126" s="150">
        <v>100</v>
      </c>
      <c r="M126" s="125" t="s">
        <v>28</v>
      </c>
      <c r="N126" s="125" t="s">
        <v>283</v>
      </c>
      <c r="O126" s="126" t="s">
        <v>118</v>
      </c>
      <c r="P126" s="121" t="s">
        <v>131</v>
      </c>
      <c r="R126" s="118"/>
      <c r="S126" s="118"/>
      <c r="T126" s="118"/>
      <c r="U126" s="118"/>
      <c r="V126" s="118"/>
      <c r="W126" s="118"/>
      <c r="X126" s="118"/>
    </row>
    <row r="127" spans="1:24">
      <c r="A127" s="428"/>
      <c r="B127" s="436"/>
      <c r="C127" s="425"/>
      <c r="D127" s="467"/>
      <c r="E127" s="473"/>
      <c r="F127" s="473"/>
      <c r="G127" s="473"/>
      <c r="H127" s="473"/>
      <c r="I127" s="473"/>
      <c r="J127" s="473"/>
      <c r="K127" s="473"/>
      <c r="L127" s="150">
        <v>101</v>
      </c>
      <c r="M127" s="125" t="s">
        <v>28</v>
      </c>
      <c r="N127" s="128"/>
      <c r="O127" s="126"/>
      <c r="P127" s="121"/>
      <c r="R127" s="118"/>
      <c r="S127" s="118"/>
      <c r="T127" s="118"/>
      <c r="U127" s="118"/>
      <c r="V127" s="118"/>
      <c r="W127" s="118"/>
      <c r="X127" s="118"/>
    </row>
    <row r="128" spans="1:24">
      <c r="A128" s="428"/>
      <c r="B128" s="436"/>
      <c r="C128" s="425"/>
      <c r="D128" s="467"/>
      <c r="E128" s="473"/>
      <c r="F128" s="473"/>
      <c r="G128" s="473"/>
      <c r="H128" s="473"/>
      <c r="I128" s="473"/>
      <c r="J128" s="473"/>
      <c r="K128" s="473"/>
      <c r="L128" s="150">
        <v>102</v>
      </c>
      <c r="M128" s="125" t="s">
        <v>28</v>
      </c>
      <c r="N128" s="128"/>
      <c r="O128" s="126"/>
      <c r="P128" s="121"/>
      <c r="R128" s="118"/>
      <c r="S128" s="118"/>
      <c r="T128" s="118"/>
      <c r="U128" s="118"/>
      <c r="V128" s="118"/>
      <c r="W128" s="118"/>
      <c r="X128" s="118"/>
    </row>
    <row r="129" spans="1:24">
      <c r="A129" s="428"/>
      <c r="B129" s="436"/>
      <c r="C129" s="425"/>
      <c r="D129" s="467"/>
      <c r="E129" s="473"/>
      <c r="F129" s="473"/>
      <c r="G129" s="473"/>
      <c r="H129" s="473"/>
      <c r="I129" s="473"/>
      <c r="J129" s="473"/>
      <c r="K129" s="473"/>
      <c r="L129" s="150">
        <v>103</v>
      </c>
      <c r="M129" s="125" t="s">
        <v>28</v>
      </c>
      <c r="N129" s="128"/>
      <c r="O129" s="126"/>
      <c r="P129" s="121"/>
      <c r="R129" s="118"/>
      <c r="S129" s="118"/>
      <c r="T129" s="118"/>
      <c r="U129" s="118"/>
      <c r="V129" s="118"/>
      <c r="W129" s="118"/>
      <c r="X129" s="118"/>
    </row>
    <row r="130" spans="1:24">
      <c r="A130" s="428"/>
      <c r="B130" s="436"/>
      <c r="C130" s="425"/>
      <c r="D130" s="467"/>
      <c r="E130" s="473"/>
      <c r="F130" s="473"/>
      <c r="G130" s="473"/>
      <c r="H130" s="473"/>
      <c r="I130" s="473"/>
      <c r="J130" s="473"/>
      <c r="K130" s="473"/>
      <c r="L130" s="150">
        <v>104</v>
      </c>
      <c r="M130" s="130" t="s">
        <v>28</v>
      </c>
      <c r="N130" s="128"/>
      <c r="O130" s="126"/>
      <c r="P130" s="121"/>
      <c r="R130" s="118"/>
      <c r="S130" s="118"/>
      <c r="T130" s="118"/>
      <c r="U130" s="118"/>
      <c r="V130" s="118"/>
      <c r="W130" s="118"/>
      <c r="X130" s="118"/>
    </row>
    <row r="131" spans="1:24" ht="15.75" thickBot="1">
      <c r="A131" s="428"/>
      <c r="B131" s="436"/>
      <c r="C131" s="426"/>
      <c r="D131" s="468"/>
      <c r="E131" s="474"/>
      <c r="F131" s="474"/>
      <c r="G131" s="474"/>
      <c r="H131" s="474"/>
      <c r="I131" s="474"/>
      <c r="J131" s="474"/>
      <c r="K131" s="474"/>
      <c r="L131" s="151">
        <v>105</v>
      </c>
      <c r="M131" s="138" t="s">
        <v>28</v>
      </c>
      <c r="N131" s="148"/>
      <c r="O131" s="139"/>
      <c r="P131" s="122"/>
      <c r="R131" s="118"/>
      <c r="S131" s="118"/>
      <c r="T131" s="118"/>
      <c r="U131" s="118"/>
      <c r="V131" s="118"/>
      <c r="W131" s="118"/>
      <c r="X131" s="118"/>
    </row>
    <row r="132" spans="1:24" ht="30">
      <c r="A132" s="428"/>
      <c r="B132" s="436"/>
      <c r="C132" s="424" t="str">
        <f>'Step 1 - System Definition'!O10</f>
        <v>Container Thermal Regulation</v>
      </c>
      <c r="D132" s="466" t="str">
        <f>'Step 5 - Mitigation Analysis'!F12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132" s="472" t="str">
        <f>'Step 5 - Mitigation Analysis'!I12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132" s="472" t="str">
        <f>'Step 5 - Mitigation Analysis'!L12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132" s="472" t="str">
        <f>'Step 5 - Mitigation Analysis'!O12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132" s="472" t="str">
        <f>'Step 5 - Mitigation Analysis'!R12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132" s="472" t="str">
        <f>'Step 5 - Mitigation Analysis'!U12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132" s="472" t="str">
        <f>'Step 5 - Mitigation Analysis'!X12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132" s="472" t="str">
        <f>'Step 5 - Mitigation Analysis'!AA12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132" s="149">
        <v>106</v>
      </c>
      <c r="M132" s="134" t="s">
        <v>28</v>
      </c>
      <c r="N132" s="134" t="s">
        <v>283</v>
      </c>
      <c r="O132" s="135" t="s">
        <v>118</v>
      </c>
      <c r="P132" s="136" t="s">
        <v>124</v>
      </c>
      <c r="R132" s="118"/>
      <c r="S132" s="118"/>
      <c r="T132" s="118"/>
      <c r="U132" s="118"/>
      <c r="V132" s="118"/>
      <c r="W132" s="118"/>
      <c r="X132" s="118"/>
    </row>
    <row r="133" spans="1:24" ht="30">
      <c r="A133" s="428"/>
      <c r="B133" s="436"/>
      <c r="C133" s="425"/>
      <c r="D133" s="467"/>
      <c r="E133" s="473"/>
      <c r="F133" s="473"/>
      <c r="G133" s="473"/>
      <c r="H133" s="473"/>
      <c r="I133" s="473"/>
      <c r="J133" s="473"/>
      <c r="K133" s="473"/>
      <c r="L133" s="150">
        <v>107</v>
      </c>
      <c r="M133" s="125" t="s">
        <v>28</v>
      </c>
      <c r="N133" s="125" t="s">
        <v>283</v>
      </c>
      <c r="O133" s="126" t="s">
        <v>118</v>
      </c>
      <c r="P133" s="137" t="s">
        <v>126</v>
      </c>
      <c r="R133" s="118"/>
      <c r="S133" s="118"/>
      <c r="T133" s="118"/>
      <c r="U133" s="118"/>
      <c r="V133" s="118"/>
      <c r="W133" s="118"/>
      <c r="X133" s="118"/>
    </row>
    <row r="134" spans="1:24" ht="45">
      <c r="A134" s="428"/>
      <c r="B134" s="436"/>
      <c r="C134" s="425"/>
      <c r="D134" s="467"/>
      <c r="E134" s="473"/>
      <c r="F134" s="473"/>
      <c r="G134" s="473"/>
      <c r="H134" s="473"/>
      <c r="I134" s="473"/>
      <c r="J134" s="473"/>
      <c r="K134" s="473"/>
      <c r="L134" s="150">
        <v>108</v>
      </c>
      <c r="M134" s="125" t="s">
        <v>28</v>
      </c>
      <c r="N134" s="125" t="s">
        <v>283</v>
      </c>
      <c r="O134" s="126" t="s">
        <v>118</v>
      </c>
      <c r="P134" s="137" t="s">
        <v>128</v>
      </c>
      <c r="R134" s="118"/>
      <c r="S134" s="118"/>
      <c r="T134" s="118"/>
      <c r="U134" s="118"/>
      <c r="V134" s="118"/>
      <c r="W134" s="118"/>
      <c r="X134" s="118"/>
    </row>
    <row r="135" spans="1:24" ht="45">
      <c r="A135" s="428"/>
      <c r="B135" s="436"/>
      <c r="C135" s="425"/>
      <c r="D135" s="467"/>
      <c r="E135" s="473"/>
      <c r="F135" s="473"/>
      <c r="G135" s="473"/>
      <c r="H135" s="473"/>
      <c r="I135" s="473"/>
      <c r="J135" s="473"/>
      <c r="K135" s="473"/>
      <c r="L135" s="150">
        <v>109</v>
      </c>
      <c r="M135" s="125" t="s">
        <v>28</v>
      </c>
      <c r="N135" s="125" t="s">
        <v>283</v>
      </c>
      <c r="O135" s="126" t="s">
        <v>118</v>
      </c>
      <c r="P135" s="137" t="s">
        <v>129</v>
      </c>
      <c r="R135" s="118"/>
      <c r="S135" s="118"/>
      <c r="T135" s="118"/>
      <c r="U135" s="118"/>
      <c r="V135" s="118"/>
      <c r="W135" s="118"/>
      <c r="X135" s="118"/>
    </row>
    <row r="136" spans="1:24" ht="60">
      <c r="A136" s="428"/>
      <c r="B136" s="436"/>
      <c r="C136" s="425"/>
      <c r="D136" s="467"/>
      <c r="E136" s="473"/>
      <c r="F136" s="473"/>
      <c r="G136" s="473"/>
      <c r="H136" s="473"/>
      <c r="I136" s="473"/>
      <c r="J136" s="473"/>
      <c r="K136" s="473"/>
      <c r="L136" s="150">
        <v>110</v>
      </c>
      <c r="M136" s="125" t="s">
        <v>28</v>
      </c>
      <c r="N136" s="125" t="s">
        <v>283</v>
      </c>
      <c r="O136" s="126" t="s">
        <v>118</v>
      </c>
      <c r="P136" s="137" t="s">
        <v>130</v>
      </c>
      <c r="R136" s="118"/>
      <c r="S136" s="118"/>
      <c r="T136" s="118"/>
      <c r="U136" s="118"/>
      <c r="V136" s="118"/>
      <c r="W136" s="118"/>
      <c r="X136" s="118"/>
    </row>
    <row r="137" spans="1:24" ht="45">
      <c r="A137" s="428"/>
      <c r="B137" s="436"/>
      <c r="C137" s="425"/>
      <c r="D137" s="467"/>
      <c r="E137" s="473"/>
      <c r="F137" s="473"/>
      <c r="G137" s="473"/>
      <c r="H137" s="473"/>
      <c r="I137" s="473"/>
      <c r="J137" s="473"/>
      <c r="K137" s="473"/>
      <c r="L137" s="150">
        <v>111</v>
      </c>
      <c r="M137" s="130" t="s">
        <v>28</v>
      </c>
      <c r="N137" s="125" t="s">
        <v>283</v>
      </c>
      <c r="O137" s="126" t="s">
        <v>118</v>
      </c>
      <c r="P137" s="137" t="s">
        <v>131</v>
      </c>
      <c r="R137" s="118"/>
      <c r="S137" s="118"/>
      <c r="T137" s="118"/>
      <c r="U137" s="118"/>
      <c r="V137" s="118"/>
      <c r="W137" s="118"/>
      <c r="X137" s="118"/>
    </row>
    <row r="138" spans="1:24">
      <c r="A138" s="428"/>
      <c r="B138" s="436"/>
      <c r="C138" s="425"/>
      <c r="D138" s="467"/>
      <c r="E138" s="473"/>
      <c r="F138" s="473"/>
      <c r="G138" s="473"/>
      <c r="H138" s="473"/>
      <c r="I138" s="473"/>
      <c r="J138" s="473"/>
      <c r="K138" s="473"/>
      <c r="L138" s="150">
        <v>112</v>
      </c>
      <c r="M138" s="125" t="s">
        <v>28</v>
      </c>
      <c r="N138" s="154"/>
      <c r="O138" s="155"/>
      <c r="P138" s="156"/>
      <c r="R138" s="118"/>
      <c r="S138" s="118"/>
      <c r="T138" s="118"/>
      <c r="U138" s="118"/>
      <c r="V138" s="118"/>
      <c r="W138" s="118"/>
      <c r="X138" s="118"/>
    </row>
    <row r="139" spans="1:24">
      <c r="A139" s="428"/>
      <c r="B139" s="436"/>
      <c r="C139" s="425"/>
      <c r="D139" s="467"/>
      <c r="E139" s="473"/>
      <c r="F139" s="473"/>
      <c r="G139" s="473"/>
      <c r="H139" s="473"/>
      <c r="I139" s="473"/>
      <c r="J139" s="473"/>
      <c r="K139" s="473"/>
      <c r="L139" s="150">
        <v>113</v>
      </c>
      <c r="M139" s="130" t="s">
        <v>28</v>
      </c>
      <c r="N139" s="154"/>
      <c r="O139" s="155"/>
      <c r="P139" s="156"/>
      <c r="R139" s="118"/>
      <c r="S139" s="118"/>
      <c r="T139" s="118"/>
      <c r="U139" s="118"/>
      <c r="V139" s="118"/>
      <c r="W139" s="118"/>
      <c r="X139" s="118"/>
    </row>
    <row r="140" spans="1:24">
      <c r="A140" s="428"/>
      <c r="B140" s="436"/>
      <c r="C140" s="425"/>
      <c r="D140" s="467"/>
      <c r="E140" s="473"/>
      <c r="F140" s="473"/>
      <c r="G140" s="473"/>
      <c r="H140" s="473"/>
      <c r="I140" s="473"/>
      <c r="J140" s="473"/>
      <c r="K140" s="473"/>
      <c r="L140" s="150">
        <v>114</v>
      </c>
      <c r="M140" s="125" t="s">
        <v>28</v>
      </c>
      <c r="N140" s="154"/>
      <c r="O140" s="155"/>
      <c r="P140" s="156"/>
      <c r="R140" s="118"/>
      <c r="S140" s="118"/>
      <c r="T140" s="118"/>
      <c r="U140" s="118"/>
      <c r="V140" s="118"/>
      <c r="W140" s="118"/>
      <c r="X140" s="118"/>
    </row>
    <row r="141" spans="1:24">
      <c r="A141" s="428"/>
      <c r="B141" s="436"/>
      <c r="C141" s="425"/>
      <c r="D141" s="467"/>
      <c r="E141" s="473"/>
      <c r="F141" s="473"/>
      <c r="G141" s="473"/>
      <c r="H141" s="473"/>
      <c r="I141" s="473"/>
      <c r="J141" s="473"/>
      <c r="K141" s="473"/>
      <c r="L141" s="150">
        <v>115</v>
      </c>
      <c r="M141" s="130" t="s">
        <v>28</v>
      </c>
      <c r="N141" s="154"/>
      <c r="O141" s="155"/>
      <c r="P141" s="156"/>
      <c r="R141" s="118"/>
      <c r="S141" s="118"/>
      <c r="T141" s="118"/>
      <c r="U141" s="118"/>
      <c r="V141" s="118"/>
      <c r="W141" s="118"/>
      <c r="X141" s="118"/>
    </row>
    <row r="142" spans="1:24">
      <c r="A142" s="428"/>
      <c r="B142" s="436"/>
      <c r="C142" s="425"/>
      <c r="D142" s="467"/>
      <c r="E142" s="473"/>
      <c r="F142" s="473"/>
      <c r="G142" s="473"/>
      <c r="H142" s="473"/>
      <c r="I142" s="473"/>
      <c r="J142" s="473"/>
      <c r="K142" s="473"/>
      <c r="L142" s="150">
        <v>116</v>
      </c>
      <c r="M142" s="125" t="s">
        <v>28</v>
      </c>
      <c r="N142" s="154"/>
      <c r="O142" s="155"/>
      <c r="P142" s="156"/>
      <c r="R142" s="118"/>
      <c r="S142" s="118"/>
      <c r="T142" s="118"/>
      <c r="U142" s="118"/>
      <c r="V142" s="118"/>
      <c r="W142" s="118"/>
      <c r="X142" s="118"/>
    </row>
    <row r="143" spans="1:24" ht="15.75" thickBot="1">
      <c r="A143" s="428"/>
      <c r="B143" s="436"/>
      <c r="C143" s="426"/>
      <c r="D143" s="468"/>
      <c r="E143" s="474"/>
      <c r="F143" s="474"/>
      <c r="G143" s="474"/>
      <c r="H143" s="474"/>
      <c r="I143" s="474"/>
      <c r="J143" s="474"/>
      <c r="K143" s="474"/>
      <c r="L143" s="151">
        <v>117</v>
      </c>
      <c r="M143" s="138" t="s">
        <v>28</v>
      </c>
      <c r="N143" s="148"/>
      <c r="O143" s="139"/>
      <c r="P143" s="140"/>
      <c r="R143" s="118"/>
      <c r="S143" s="118"/>
      <c r="T143" s="118"/>
      <c r="U143" s="118"/>
      <c r="V143" s="118"/>
      <c r="W143" s="118"/>
      <c r="X143" s="118"/>
    </row>
    <row r="144" spans="1:24">
      <c r="A144" s="428"/>
      <c r="B144" s="436"/>
      <c r="C144" s="424" t="str">
        <f>'Step 1 - System Definition'!O11</f>
        <v>Fire Protection</v>
      </c>
      <c r="D144" s="466" t="str">
        <f>'Step 5 - Mitigation Analysis'!F13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144" s="472" t="str">
        <f>'Step 5 - Mitigation Analysis'!I13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144" s="472" t="str">
        <f>'Step 5 - Mitigation Analysis'!L13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144" s="472" t="str">
        <f>'Step 5 - Mitigation Analysis'!O13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144" s="472" t="str">
        <f>'Step 5 - Mitigation Analysis'!R13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144" s="472" t="str">
        <f>'Step 5 - Mitigation Analysis'!U13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144" s="472" t="str">
        <f>'Step 5 - Mitigation Analysis'!X13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144" s="472" t="str">
        <f>'Step 5 - Mitigation Analysis'!AA13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144" s="149">
        <v>118</v>
      </c>
      <c r="M144" s="134" t="s">
        <v>28</v>
      </c>
      <c r="N144" s="134" t="s">
        <v>283</v>
      </c>
      <c r="O144" s="135" t="s">
        <v>118</v>
      </c>
      <c r="P144" s="136" t="s">
        <v>302</v>
      </c>
      <c r="R144" s="118"/>
      <c r="S144" s="118"/>
      <c r="T144" s="118"/>
      <c r="U144" s="118"/>
      <c r="V144" s="118"/>
      <c r="W144" s="118"/>
      <c r="X144" s="118"/>
    </row>
    <row r="145" spans="1:24" ht="45">
      <c r="A145" s="428"/>
      <c r="B145" s="436"/>
      <c r="C145" s="425"/>
      <c r="D145" s="467"/>
      <c r="E145" s="473"/>
      <c r="F145" s="473"/>
      <c r="G145" s="473"/>
      <c r="H145" s="473"/>
      <c r="I145" s="473"/>
      <c r="J145" s="473"/>
      <c r="K145" s="473"/>
      <c r="L145" s="150">
        <v>119</v>
      </c>
      <c r="M145" s="125" t="s">
        <v>28</v>
      </c>
      <c r="N145" s="125" t="s">
        <v>283</v>
      </c>
      <c r="O145" s="126" t="s">
        <v>118</v>
      </c>
      <c r="P145" s="137" t="s">
        <v>125</v>
      </c>
      <c r="R145" s="118"/>
      <c r="S145" s="118"/>
      <c r="T145" s="118"/>
      <c r="U145" s="118"/>
      <c r="V145" s="118"/>
      <c r="W145" s="118"/>
      <c r="X145" s="118"/>
    </row>
    <row r="146" spans="1:24" ht="45">
      <c r="A146" s="428"/>
      <c r="B146" s="436"/>
      <c r="C146" s="425"/>
      <c r="D146" s="467"/>
      <c r="E146" s="473"/>
      <c r="F146" s="473"/>
      <c r="G146" s="473"/>
      <c r="H146" s="473"/>
      <c r="I146" s="473"/>
      <c r="J146" s="473"/>
      <c r="K146" s="473"/>
      <c r="L146" s="150">
        <v>120</v>
      </c>
      <c r="M146" s="125" t="s">
        <v>28</v>
      </c>
      <c r="N146" s="125" t="s">
        <v>283</v>
      </c>
      <c r="O146" s="126" t="s">
        <v>118</v>
      </c>
      <c r="P146" s="137" t="s">
        <v>128</v>
      </c>
      <c r="R146" s="118"/>
      <c r="S146" s="118"/>
      <c r="T146" s="118"/>
      <c r="U146" s="118"/>
      <c r="V146" s="118"/>
      <c r="W146" s="118"/>
      <c r="X146" s="118"/>
    </row>
    <row r="147" spans="1:24" ht="45">
      <c r="A147" s="428"/>
      <c r="B147" s="436"/>
      <c r="C147" s="425"/>
      <c r="D147" s="467"/>
      <c r="E147" s="473"/>
      <c r="F147" s="473"/>
      <c r="G147" s="473"/>
      <c r="H147" s="473"/>
      <c r="I147" s="473"/>
      <c r="J147" s="473"/>
      <c r="K147" s="473"/>
      <c r="L147" s="150">
        <v>121</v>
      </c>
      <c r="M147" s="125" t="s">
        <v>28</v>
      </c>
      <c r="N147" s="125" t="s">
        <v>283</v>
      </c>
      <c r="O147" s="126" t="s">
        <v>118</v>
      </c>
      <c r="P147" s="137" t="s">
        <v>129</v>
      </c>
      <c r="R147" s="118"/>
      <c r="S147" s="118"/>
      <c r="T147" s="118"/>
      <c r="U147" s="118"/>
      <c r="V147" s="118"/>
      <c r="W147" s="118"/>
      <c r="X147" s="118"/>
    </row>
    <row r="148" spans="1:24" ht="60">
      <c r="A148" s="428"/>
      <c r="B148" s="436"/>
      <c r="C148" s="425"/>
      <c r="D148" s="467"/>
      <c r="E148" s="473"/>
      <c r="F148" s="473"/>
      <c r="G148" s="473"/>
      <c r="H148" s="473"/>
      <c r="I148" s="473"/>
      <c r="J148" s="473"/>
      <c r="K148" s="473"/>
      <c r="L148" s="150">
        <v>122</v>
      </c>
      <c r="M148" s="125" t="s">
        <v>28</v>
      </c>
      <c r="N148" s="125" t="s">
        <v>283</v>
      </c>
      <c r="O148" s="126" t="s">
        <v>118</v>
      </c>
      <c r="P148" s="137" t="s">
        <v>130</v>
      </c>
      <c r="R148" s="118"/>
      <c r="S148" s="118"/>
      <c r="T148" s="118"/>
      <c r="U148" s="118"/>
      <c r="V148" s="118"/>
      <c r="W148" s="118"/>
      <c r="X148" s="118"/>
    </row>
    <row r="149" spans="1:24" ht="45">
      <c r="A149" s="428"/>
      <c r="B149" s="436"/>
      <c r="C149" s="425"/>
      <c r="D149" s="467"/>
      <c r="E149" s="473"/>
      <c r="F149" s="473"/>
      <c r="G149" s="473"/>
      <c r="H149" s="473"/>
      <c r="I149" s="473"/>
      <c r="J149" s="473"/>
      <c r="K149" s="473"/>
      <c r="L149" s="150">
        <v>123</v>
      </c>
      <c r="M149" s="130" t="s">
        <v>28</v>
      </c>
      <c r="N149" s="125" t="s">
        <v>283</v>
      </c>
      <c r="O149" s="126" t="s">
        <v>118</v>
      </c>
      <c r="P149" s="137" t="s">
        <v>131</v>
      </c>
      <c r="R149" s="118"/>
      <c r="S149" s="118"/>
      <c r="T149" s="118"/>
      <c r="U149" s="118"/>
      <c r="V149" s="118"/>
      <c r="W149" s="118"/>
      <c r="X149" s="118"/>
    </row>
    <row r="150" spans="1:24">
      <c r="A150" s="428"/>
      <c r="B150" s="436"/>
      <c r="C150" s="425"/>
      <c r="D150" s="467"/>
      <c r="E150" s="473"/>
      <c r="F150" s="473"/>
      <c r="G150" s="473"/>
      <c r="H150" s="473"/>
      <c r="I150" s="473"/>
      <c r="J150" s="473"/>
      <c r="K150" s="473"/>
      <c r="L150" s="150">
        <v>124</v>
      </c>
      <c r="M150" s="125" t="s">
        <v>28</v>
      </c>
      <c r="N150" s="154"/>
      <c r="O150" s="155"/>
      <c r="P150" s="156"/>
      <c r="R150" s="118"/>
      <c r="S150" s="118"/>
      <c r="T150" s="118"/>
      <c r="U150" s="118"/>
      <c r="V150" s="118"/>
      <c r="W150" s="118"/>
      <c r="X150" s="118"/>
    </row>
    <row r="151" spans="1:24">
      <c r="A151" s="428"/>
      <c r="B151" s="436"/>
      <c r="C151" s="425"/>
      <c r="D151" s="467"/>
      <c r="E151" s="473"/>
      <c r="F151" s="473"/>
      <c r="G151" s="473"/>
      <c r="H151" s="473"/>
      <c r="I151" s="473"/>
      <c r="J151" s="473"/>
      <c r="K151" s="473"/>
      <c r="L151" s="150">
        <v>125</v>
      </c>
      <c r="M151" s="130" t="s">
        <v>28</v>
      </c>
      <c r="N151" s="154"/>
      <c r="O151" s="155"/>
      <c r="P151" s="156"/>
      <c r="R151" s="118"/>
      <c r="S151" s="118"/>
      <c r="T151" s="118"/>
      <c r="U151" s="118"/>
      <c r="V151" s="118"/>
      <c r="W151" s="118"/>
      <c r="X151" s="118"/>
    </row>
    <row r="152" spans="1:24">
      <c r="A152" s="428"/>
      <c r="B152" s="436"/>
      <c r="C152" s="425"/>
      <c r="D152" s="467"/>
      <c r="E152" s="473"/>
      <c r="F152" s="473"/>
      <c r="G152" s="473"/>
      <c r="H152" s="473"/>
      <c r="I152" s="473"/>
      <c r="J152" s="473"/>
      <c r="K152" s="473"/>
      <c r="L152" s="150">
        <v>126</v>
      </c>
      <c r="M152" s="125" t="s">
        <v>28</v>
      </c>
      <c r="N152" s="154"/>
      <c r="O152" s="155"/>
      <c r="P152" s="156"/>
      <c r="R152" s="118"/>
      <c r="S152" s="118"/>
      <c r="T152" s="118"/>
      <c r="U152" s="118"/>
      <c r="V152" s="118"/>
      <c r="W152" s="118"/>
      <c r="X152" s="118"/>
    </row>
    <row r="153" spans="1:24" ht="24">
      <c r="A153" s="428"/>
      <c r="B153" s="436"/>
      <c r="C153" s="425"/>
      <c r="D153" s="467"/>
      <c r="E153" s="473"/>
      <c r="F153" s="473"/>
      <c r="G153" s="473"/>
      <c r="H153" s="473"/>
      <c r="I153" s="473"/>
      <c r="J153" s="473"/>
      <c r="K153" s="473"/>
      <c r="L153" s="150">
        <v>127</v>
      </c>
      <c r="M153" s="130" t="s">
        <v>28</v>
      </c>
      <c r="N153" s="125" t="s">
        <v>283</v>
      </c>
      <c r="O153" s="126" t="s">
        <v>132</v>
      </c>
      <c r="P153" s="121" t="s">
        <v>138</v>
      </c>
      <c r="R153" s="118"/>
      <c r="S153" s="118"/>
      <c r="T153" s="118"/>
      <c r="U153" s="118"/>
      <c r="V153" s="118"/>
      <c r="W153" s="118"/>
      <c r="X153" s="118"/>
    </row>
    <row r="154" spans="1:24">
      <c r="A154" s="428"/>
      <c r="B154" s="436"/>
      <c r="C154" s="425"/>
      <c r="D154" s="467"/>
      <c r="E154" s="473"/>
      <c r="F154" s="473"/>
      <c r="G154" s="473"/>
      <c r="H154" s="473"/>
      <c r="I154" s="473"/>
      <c r="J154" s="473"/>
      <c r="K154" s="473"/>
      <c r="L154" s="150">
        <v>128</v>
      </c>
      <c r="M154" s="125" t="s">
        <v>28</v>
      </c>
      <c r="N154" s="154"/>
      <c r="O154" s="155"/>
      <c r="P154" s="156"/>
      <c r="R154" s="118"/>
      <c r="S154" s="118"/>
      <c r="T154" s="118"/>
      <c r="U154" s="118"/>
      <c r="V154" s="118"/>
      <c r="W154" s="118"/>
      <c r="X154" s="118"/>
    </row>
    <row r="155" spans="1:24" ht="15.75" thickBot="1">
      <c r="A155" s="428"/>
      <c r="B155" s="436"/>
      <c r="C155" s="426"/>
      <c r="D155" s="468"/>
      <c r="E155" s="474"/>
      <c r="F155" s="474"/>
      <c r="G155" s="474"/>
      <c r="H155" s="474"/>
      <c r="I155" s="474"/>
      <c r="J155" s="474"/>
      <c r="K155" s="474"/>
      <c r="L155" s="151">
        <v>129</v>
      </c>
      <c r="M155" s="290" t="s">
        <v>28</v>
      </c>
      <c r="N155" s="148"/>
      <c r="O155" s="139"/>
      <c r="P155" s="140"/>
      <c r="R155" s="118"/>
      <c r="S155" s="118"/>
      <c r="T155" s="118"/>
      <c r="U155" s="118"/>
      <c r="V155" s="118"/>
      <c r="W155" s="118"/>
      <c r="X155" s="118"/>
    </row>
    <row r="156" spans="1:24" ht="30">
      <c r="A156" s="428"/>
      <c r="B156" s="436" t="s">
        <v>34</v>
      </c>
      <c r="C156" s="424" t="str">
        <f>'Step 1 - System Definition'!O12</f>
        <v>Inverter(s)</v>
      </c>
      <c r="D156" s="475" t="str">
        <f>'Step 5 - Mitigation Analysis'!F14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156" s="478" t="str">
        <f>'Step 5 - Mitigation Analysis'!I14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156" s="478" t="str">
        <f>'Step 5 - Mitigation Analysis'!L14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156" s="478" t="str">
        <f>'Step 5 - Mitigation Analysis'!O14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156" s="478" t="str">
        <f>'Step 5 - Mitigation Analysis'!R14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156" s="478" t="str">
        <f>'Step 5 - Mitigation Analysis'!U14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156" s="478" t="str">
        <f>'Step 5 - Mitigation Analysis'!X14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156" s="478" t="str">
        <f>'Step 5 - Mitigation Analysis'!AA14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156" s="149">
        <v>130</v>
      </c>
      <c r="M156" s="134" t="s">
        <v>28</v>
      </c>
      <c r="N156" s="134" t="s">
        <v>283</v>
      </c>
      <c r="O156" s="135" t="s">
        <v>118</v>
      </c>
      <c r="P156" s="136" t="s">
        <v>127</v>
      </c>
      <c r="R156" s="118"/>
      <c r="S156" s="118"/>
      <c r="T156" s="118"/>
      <c r="U156" s="118"/>
      <c r="V156" s="118"/>
      <c r="W156" s="118"/>
      <c r="X156" s="118"/>
    </row>
    <row r="157" spans="1:24" ht="30">
      <c r="A157" s="428"/>
      <c r="B157" s="436"/>
      <c r="C157" s="425"/>
      <c r="D157" s="476"/>
      <c r="E157" s="479"/>
      <c r="F157" s="479"/>
      <c r="G157" s="479"/>
      <c r="H157" s="479"/>
      <c r="I157" s="479"/>
      <c r="J157" s="479"/>
      <c r="K157" s="479"/>
      <c r="L157" s="150">
        <v>131</v>
      </c>
      <c r="M157" s="130" t="s">
        <v>28</v>
      </c>
      <c r="N157" s="125" t="s">
        <v>283</v>
      </c>
      <c r="O157" s="126" t="s">
        <v>118</v>
      </c>
      <c r="P157" s="137" t="s">
        <v>456</v>
      </c>
      <c r="R157" s="118"/>
      <c r="S157" s="118"/>
      <c r="T157" s="118"/>
      <c r="U157" s="118"/>
      <c r="V157" s="118"/>
      <c r="W157" s="118"/>
      <c r="X157" s="118"/>
    </row>
    <row r="158" spans="1:24" ht="30">
      <c r="A158" s="428"/>
      <c r="B158" s="436"/>
      <c r="C158" s="425"/>
      <c r="D158" s="476"/>
      <c r="E158" s="479"/>
      <c r="F158" s="479"/>
      <c r="G158" s="479"/>
      <c r="H158" s="479"/>
      <c r="I158" s="479"/>
      <c r="J158" s="479"/>
      <c r="K158" s="479"/>
      <c r="L158" s="150">
        <v>132</v>
      </c>
      <c r="M158" s="125" t="s">
        <v>28</v>
      </c>
      <c r="N158" s="125" t="s">
        <v>283</v>
      </c>
      <c r="O158" s="126" t="s">
        <v>118</v>
      </c>
      <c r="P158" s="137" t="s">
        <v>457</v>
      </c>
      <c r="R158" s="118"/>
      <c r="S158" s="118"/>
      <c r="T158" s="118"/>
      <c r="U158" s="118"/>
      <c r="V158" s="118"/>
      <c r="W158" s="118"/>
      <c r="X158" s="118"/>
    </row>
    <row r="159" spans="1:24" ht="30">
      <c r="A159" s="428"/>
      <c r="B159" s="436"/>
      <c r="C159" s="425"/>
      <c r="D159" s="476"/>
      <c r="E159" s="479"/>
      <c r="F159" s="479"/>
      <c r="G159" s="479"/>
      <c r="H159" s="479"/>
      <c r="I159" s="479"/>
      <c r="J159" s="479"/>
      <c r="K159" s="479"/>
      <c r="L159" s="150">
        <v>133</v>
      </c>
      <c r="M159" s="130" t="s">
        <v>28</v>
      </c>
      <c r="N159" s="125" t="s">
        <v>283</v>
      </c>
      <c r="O159" s="126" t="s">
        <v>118</v>
      </c>
      <c r="P159" s="137" t="s">
        <v>458</v>
      </c>
      <c r="R159" s="118"/>
      <c r="S159" s="118"/>
      <c r="T159" s="118"/>
      <c r="U159" s="118"/>
      <c r="V159" s="118"/>
      <c r="W159" s="118"/>
      <c r="X159" s="118"/>
    </row>
    <row r="160" spans="1:24" ht="30">
      <c r="A160" s="428"/>
      <c r="B160" s="436"/>
      <c r="C160" s="425"/>
      <c r="D160" s="476"/>
      <c r="E160" s="479"/>
      <c r="F160" s="479"/>
      <c r="G160" s="479"/>
      <c r="H160" s="479"/>
      <c r="I160" s="479"/>
      <c r="J160" s="479"/>
      <c r="K160" s="479"/>
      <c r="L160" s="150">
        <v>134</v>
      </c>
      <c r="M160" s="125" t="s">
        <v>28</v>
      </c>
      <c r="N160" s="125" t="s">
        <v>283</v>
      </c>
      <c r="O160" s="126" t="s">
        <v>118</v>
      </c>
      <c r="P160" s="137" t="s">
        <v>459</v>
      </c>
      <c r="R160" s="118"/>
      <c r="S160" s="118"/>
      <c r="T160" s="118"/>
      <c r="U160" s="118"/>
      <c r="V160" s="118"/>
      <c r="W160" s="118"/>
      <c r="X160" s="118"/>
    </row>
    <row r="161" spans="1:24" ht="45">
      <c r="A161" s="428"/>
      <c r="B161" s="436"/>
      <c r="C161" s="425"/>
      <c r="D161" s="476"/>
      <c r="E161" s="479"/>
      <c r="F161" s="479"/>
      <c r="G161" s="479"/>
      <c r="H161" s="479"/>
      <c r="I161" s="479"/>
      <c r="J161" s="479"/>
      <c r="K161" s="479"/>
      <c r="L161" s="150">
        <v>135</v>
      </c>
      <c r="M161" s="130" t="s">
        <v>28</v>
      </c>
      <c r="N161" s="125" t="s">
        <v>283</v>
      </c>
      <c r="O161" s="126" t="s">
        <v>118</v>
      </c>
      <c r="P161" s="137" t="s">
        <v>460</v>
      </c>
      <c r="R161" s="118"/>
      <c r="S161" s="118"/>
      <c r="T161" s="118"/>
      <c r="U161" s="118"/>
      <c r="V161" s="118"/>
      <c r="W161" s="118"/>
      <c r="X161" s="118"/>
    </row>
    <row r="162" spans="1:24">
      <c r="A162" s="428"/>
      <c r="B162" s="436"/>
      <c r="C162" s="425"/>
      <c r="D162" s="476"/>
      <c r="E162" s="479"/>
      <c r="F162" s="479"/>
      <c r="G162" s="479"/>
      <c r="H162" s="479"/>
      <c r="I162" s="479"/>
      <c r="J162" s="479"/>
      <c r="K162" s="479"/>
      <c r="L162" s="150">
        <v>136</v>
      </c>
      <c r="M162" s="125" t="s">
        <v>28</v>
      </c>
      <c r="N162" s="125" t="s">
        <v>283</v>
      </c>
      <c r="O162" s="126" t="s">
        <v>118</v>
      </c>
      <c r="P162" s="137" t="s">
        <v>461</v>
      </c>
      <c r="R162" s="118"/>
      <c r="S162" s="118"/>
      <c r="T162" s="118"/>
      <c r="U162" s="118"/>
      <c r="V162" s="118"/>
      <c r="W162" s="118"/>
      <c r="X162" s="118"/>
    </row>
    <row r="163" spans="1:24">
      <c r="A163" s="428"/>
      <c r="B163" s="436"/>
      <c r="C163" s="425"/>
      <c r="D163" s="476"/>
      <c r="E163" s="479"/>
      <c r="F163" s="479"/>
      <c r="G163" s="479"/>
      <c r="H163" s="479"/>
      <c r="I163" s="479"/>
      <c r="J163" s="479"/>
      <c r="K163" s="479"/>
      <c r="L163" s="150">
        <v>137</v>
      </c>
      <c r="M163" s="130" t="s">
        <v>28</v>
      </c>
      <c r="N163" s="125" t="s">
        <v>283</v>
      </c>
      <c r="O163" s="126" t="s">
        <v>118</v>
      </c>
      <c r="P163" s="137" t="s">
        <v>462</v>
      </c>
      <c r="R163" s="118"/>
      <c r="S163" s="118"/>
      <c r="T163" s="118"/>
      <c r="U163" s="118"/>
      <c r="V163" s="118"/>
      <c r="W163" s="118"/>
      <c r="X163" s="118"/>
    </row>
    <row r="164" spans="1:24">
      <c r="A164" s="428"/>
      <c r="B164" s="436"/>
      <c r="C164" s="425"/>
      <c r="D164" s="476"/>
      <c r="E164" s="479"/>
      <c r="F164" s="479"/>
      <c r="G164" s="479"/>
      <c r="H164" s="479"/>
      <c r="I164" s="479"/>
      <c r="J164" s="479"/>
      <c r="K164" s="479"/>
      <c r="L164" s="150">
        <v>138</v>
      </c>
      <c r="M164" s="125" t="s">
        <v>28</v>
      </c>
      <c r="N164" s="125" t="s">
        <v>283</v>
      </c>
      <c r="O164" s="126" t="s">
        <v>118</v>
      </c>
      <c r="P164" s="137" t="s">
        <v>463</v>
      </c>
      <c r="R164" s="118"/>
      <c r="S164" s="118"/>
      <c r="T164" s="118"/>
      <c r="U164" s="118"/>
      <c r="V164" s="118"/>
      <c r="W164" s="118"/>
      <c r="X164" s="118"/>
    </row>
    <row r="165" spans="1:24">
      <c r="A165" s="428"/>
      <c r="B165" s="436"/>
      <c r="C165" s="425"/>
      <c r="D165" s="476"/>
      <c r="E165" s="479"/>
      <c r="F165" s="479"/>
      <c r="G165" s="479"/>
      <c r="H165" s="479"/>
      <c r="I165" s="479"/>
      <c r="J165" s="479"/>
      <c r="K165" s="479"/>
      <c r="L165" s="150">
        <v>139</v>
      </c>
      <c r="M165" s="130" t="s">
        <v>28</v>
      </c>
      <c r="N165" s="125" t="s">
        <v>283</v>
      </c>
      <c r="O165" s="126" t="s">
        <v>118</v>
      </c>
      <c r="P165" s="137" t="s">
        <v>464</v>
      </c>
      <c r="R165" s="118"/>
      <c r="S165" s="118"/>
      <c r="T165" s="118"/>
      <c r="U165" s="118"/>
      <c r="V165" s="118"/>
      <c r="W165" s="118"/>
      <c r="X165" s="118"/>
    </row>
    <row r="166" spans="1:24">
      <c r="A166" s="428"/>
      <c r="B166" s="436"/>
      <c r="C166" s="425"/>
      <c r="D166" s="476"/>
      <c r="E166" s="479"/>
      <c r="F166" s="479"/>
      <c r="G166" s="479"/>
      <c r="H166" s="479"/>
      <c r="I166" s="479"/>
      <c r="J166" s="479"/>
      <c r="K166" s="479"/>
      <c r="L166" s="150">
        <v>140</v>
      </c>
      <c r="M166" s="125" t="s">
        <v>28</v>
      </c>
      <c r="N166" s="125" t="s">
        <v>283</v>
      </c>
      <c r="O166" s="126" t="s">
        <v>118</v>
      </c>
      <c r="P166" s="137" t="s">
        <v>465</v>
      </c>
      <c r="R166" s="118"/>
      <c r="S166" s="118"/>
      <c r="T166" s="118"/>
      <c r="U166" s="118"/>
      <c r="V166" s="118"/>
      <c r="W166" s="118"/>
      <c r="X166" s="118"/>
    </row>
    <row r="167" spans="1:24" ht="30">
      <c r="A167" s="428"/>
      <c r="B167" s="436"/>
      <c r="C167" s="425"/>
      <c r="D167" s="476"/>
      <c r="E167" s="479"/>
      <c r="F167" s="479"/>
      <c r="G167" s="479"/>
      <c r="H167" s="479"/>
      <c r="I167" s="479"/>
      <c r="J167" s="479"/>
      <c r="K167" s="479"/>
      <c r="L167" s="150">
        <v>141</v>
      </c>
      <c r="M167" s="130" t="s">
        <v>28</v>
      </c>
      <c r="N167" s="125" t="s">
        <v>283</v>
      </c>
      <c r="O167" s="126" t="s">
        <v>118</v>
      </c>
      <c r="P167" s="137" t="s">
        <v>466</v>
      </c>
      <c r="R167" s="118"/>
      <c r="S167" s="118"/>
      <c r="T167" s="118"/>
      <c r="U167" s="118"/>
      <c r="V167" s="118"/>
      <c r="W167" s="118"/>
      <c r="X167" s="118"/>
    </row>
    <row r="168" spans="1:24">
      <c r="A168" s="428"/>
      <c r="B168" s="436"/>
      <c r="C168" s="425"/>
      <c r="D168" s="476"/>
      <c r="E168" s="479"/>
      <c r="F168" s="479"/>
      <c r="G168" s="479"/>
      <c r="H168" s="479"/>
      <c r="I168" s="479"/>
      <c r="J168" s="479"/>
      <c r="K168" s="479"/>
      <c r="L168" s="150">
        <v>142</v>
      </c>
      <c r="M168" s="125" t="s">
        <v>28</v>
      </c>
      <c r="N168" s="125" t="s">
        <v>283</v>
      </c>
      <c r="O168" s="126" t="s">
        <v>118</v>
      </c>
      <c r="P168" s="137" t="s">
        <v>467</v>
      </c>
      <c r="R168" s="118"/>
      <c r="S168" s="118"/>
      <c r="T168" s="118"/>
      <c r="U168" s="118"/>
      <c r="V168" s="118"/>
      <c r="W168" s="118"/>
      <c r="X168" s="118"/>
    </row>
    <row r="169" spans="1:24" ht="24">
      <c r="A169" s="428"/>
      <c r="B169" s="436"/>
      <c r="C169" s="425"/>
      <c r="D169" s="476"/>
      <c r="E169" s="479"/>
      <c r="F169" s="479"/>
      <c r="G169" s="479"/>
      <c r="H169" s="479"/>
      <c r="I169" s="479"/>
      <c r="J169" s="479"/>
      <c r="K169" s="479"/>
      <c r="L169" s="150">
        <v>143</v>
      </c>
      <c r="M169" s="130" t="s">
        <v>28</v>
      </c>
      <c r="N169" s="125" t="s">
        <v>283</v>
      </c>
      <c r="O169" s="126" t="s">
        <v>132</v>
      </c>
      <c r="P169" s="121" t="s">
        <v>138</v>
      </c>
      <c r="R169" s="118"/>
      <c r="S169" s="118"/>
      <c r="T169" s="118"/>
      <c r="U169" s="118"/>
      <c r="V169" s="118"/>
      <c r="W169" s="118"/>
      <c r="X169" s="118"/>
    </row>
    <row r="170" spans="1:24" ht="30">
      <c r="A170" s="428"/>
      <c r="B170" s="436"/>
      <c r="C170" s="425"/>
      <c r="D170" s="476"/>
      <c r="E170" s="479"/>
      <c r="F170" s="479"/>
      <c r="G170" s="479"/>
      <c r="H170" s="479"/>
      <c r="I170" s="479"/>
      <c r="J170" s="479"/>
      <c r="K170" s="479"/>
      <c r="L170" s="150">
        <v>144</v>
      </c>
      <c r="M170" s="130" t="s">
        <v>28</v>
      </c>
      <c r="N170" s="125" t="s">
        <v>283</v>
      </c>
      <c r="O170" s="126" t="s">
        <v>132</v>
      </c>
      <c r="P170" s="137" t="s">
        <v>468</v>
      </c>
      <c r="R170" s="118"/>
      <c r="S170" s="118"/>
      <c r="T170" s="118"/>
      <c r="U170" s="118"/>
      <c r="V170" s="118"/>
      <c r="W170" s="118"/>
      <c r="X170" s="118"/>
    </row>
    <row r="171" spans="1:24">
      <c r="A171" s="428"/>
      <c r="B171" s="436"/>
      <c r="C171" s="425"/>
      <c r="D171" s="476"/>
      <c r="E171" s="479"/>
      <c r="F171" s="479"/>
      <c r="G171" s="479"/>
      <c r="H171" s="479"/>
      <c r="I171" s="479"/>
      <c r="J171" s="479"/>
      <c r="K171" s="479"/>
      <c r="L171" s="150">
        <v>145</v>
      </c>
      <c r="M171" s="130" t="s">
        <v>28</v>
      </c>
      <c r="N171" s="125" t="s">
        <v>283</v>
      </c>
      <c r="O171" s="126" t="s">
        <v>145</v>
      </c>
      <c r="P171" s="137" t="s">
        <v>350</v>
      </c>
      <c r="R171" s="118"/>
      <c r="S171" s="118"/>
      <c r="T171" s="118"/>
      <c r="U171" s="118"/>
      <c r="V171" s="118"/>
      <c r="W171" s="118"/>
      <c r="X171" s="118"/>
    </row>
    <row r="172" spans="1:24">
      <c r="A172" s="428"/>
      <c r="B172" s="436"/>
      <c r="C172" s="425"/>
      <c r="D172" s="476"/>
      <c r="E172" s="479"/>
      <c r="F172" s="479"/>
      <c r="G172" s="479"/>
      <c r="H172" s="479"/>
      <c r="I172" s="479"/>
      <c r="J172" s="479"/>
      <c r="K172" s="479"/>
      <c r="L172" s="150">
        <v>146</v>
      </c>
      <c r="M172" s="125" t="s">
        <v>28</v>
      </c>
      <c r="N172" s="125" t="s">
        <v>283</v>
      </c>
      <c r="O172" s="126" t="s">
        <v>158</v>
      </c>
      <c r="P172" s="121" t="s">
        <v>356</v>
      </c>
      <c r="R172" s="118"/>
      <c r="S172" s="118"/>
      <c r="T172" s="118"/>
      <c r="U172" s="118"/>
      <c r="V172" s="118"/>
      <c r="W172" s="118"/>
      <c r="X172" s="118"/>
    </row>
    <row r="173" spans="1:24" ht="15.75" thickBot="1">
      <c r="A173" s="428"/>
      <c r="B173" s="436"/>
      <c r="C173" s="426"/>
      <c r="D173" s="477"/>
      <c r="E173" s="480"/>
      <c r="F173" s="480"/>
      <c r="G173" s="480"/>
      <c r="H173" s="480"/>
      <c r="I173" s="480"/>
      <c r="J173" s="480"/>
      <c r="K173" s="480"/>
      <c r="L173" s="151">
        <v>147</v>
      </c>
      <c r="M173" s="290" t="s">
        <v>28</v>
      </c>
      <c r="N173" s="138" t="s">
        <v>283</v>
      </c>
      <c r="O173" s="139" t="s">
        <v>143</v>
      </c>
      <c r="P173" s="140" t="s">
        <v>357</v>
      </c>
      <c r="R173" s="118"/>
      <c r="S173" s="118"/>
      <c r="T173" s="118"/>
      <c r="U173" s="118"/>
      <c r="V173" s="118"/>
      <c r="W173" s="118"/>
      <c r="X173" s="118"/>
    </row>
    <row r="174" spans="1:24" ht="15" customHeight="1">
      <c r="A174" s="428"/>
      <c r="B174" s="431" t="s">
        <v>35</v>
      </c>
      <c r="C174" s="424" t="str">
        <f>'Step 1 - System Definition'!O13</f>
        <v>SCADA Server</v>
      </c>
      <c r="D174" s="466" t="str">
        <f>'Step 5 - Mitigation Analysis'!F15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174" s="472" t="str">
        <f>'Step 5 - Mitigation Analysis'!I15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174" s="472" t="str">
        <f>'Step 5 - Mitigation Analysis'!L15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174" s="472" t="str">
        <f>'Step 5 - Mitigation Analysis'!O15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174" s="472" t="str">
        <f>'Step 5 - Mitigation Analysis'!R15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174" s="472" t="str">
        <f>'Step 5 - Mitigation Analysis'!U15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174" s="472" t="str">
        <f>'Step 5 - Mitigation Analysis'!X15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174" s="472" t="str">
        <f>'Step 5 - Mitigation Analysis'!AA15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174" s="149">
        <v>148</v>
      </c>
      <c r="M174" s="134" t="s">
        <v>28</v>
      </c>
      <c r="N174" s="147"/>
      <c r="O174" s="135"/>
      <c r="P174" s="488"/>
      <c r="Q174" s="136"/>
    </row>
    <row r="175" spans="1:24" ht="15.75" thickBot="1">
      <c r="A175" s="428"/>
      <c r="B175" s="431"/>
      <c r="C175" s="425"/>
      <c r="D175" s="467"/>
      <c r="E175" s="473"/>
      <c r="F175" s="473"/>
      <c r="G175" s="473"/>
      <c r="H175" s="473"/>
      <c r="I175" s="473"/>
      <c r="J175" s="473"/>
      <c r="K175" s="473"/>
      <c r="L175" s="150">
        <v>149</v>
      </c>
      <c r="M175" s="130" t="s">
        <v>28</v>
      </c>
      <c r="N175" s="125"/>
      <c r="O175" s="126"/>
      <c r="P175" s="489"/>
      <c r="Q175" s="137"/>
    </row>
    <row r="176" spans="1:24">
      <c r="A176" s="428"/>
      <c r="B176" s="431"/>
      <c r="C176" s="425"/>
      <c r="D176" s="467"/>
      <c r="E176" s="473"/>
      <c r="F176" s="473"/>
      <c r="G176" s="473"/>
      <c r="H176" s="473"/>
      <c r="I176" s="473"/>
      <c r="J176" s="473"/>
      <c r="K176" s="473"/>
      <c r="L176" s="149">
        <v>150</v>
      </c>
      <c r="M176" s="125" t="s">
        <v>28</v>
      </c>
      <c r="N176" s="128"/>
      <c r="O176" s="126"/>
      <c r="P176" s="489"/>
      <c r="Q176" s="137"/>
    </row>
    <row r="177" spans="1:24" ht="15.75" thickBot="1">
      <c r="A177" s="428"/>
      <c r="B177" s="431"/>
      <c r="C177" s="425"/>
      <c r="D177" s="467"/>
      <c r="E177" s="473"/>
      <c r="F177" s="473"/>
      <c r="G177" s="473"/>
      <c r="H177" s="473"/>
      <c r="I177" s="473"/>
      <c r="J177" s="473"/>
      <c r="K177" s="473"/>
      <c r="L177" s="150">
        <v>151</v>
      </c>
      <c r="M177" s="125" t="s">
        <v>28</v>
      </c>
      <c r="N177" s="128"/>
      <c r="O177" s="126"/>
      <c r="P177" s="489"/>
      <c r="Q177" s="137"/>
    </row>
    <row r="178" spans="1:24">
      <c r="A178" s="428"/>
      <c r="B178" s="431"/>
      <c r="C178" s="425"/>
      <c r="D178" s="467"/>
      <c r="E178" s="473"/>
      <c r="F178" s="473"/>
      <c r="G178" s="473"/>
      <c r="H178" s="473"/>
      <c r="I178" s="473"/>
      <c r="J178" s="473"/>
      <c r="K178" s="473"/>
      <c r="L178" s="149">
        <v>152</v>
      </c>
      <c r="M178" s="125" t="s">
        <v>28</v>
      </c>
      <c r="N178" s="128"/>
      <c r="O178" s="126"/>
      <c r="P178" s="489"/>
      <c r="Q178" s="137"/>
    </row>
    <row r="179" spans="1:24" ht="15.75" thickBot="1">
      <c r="A179" s="428"/>
      <c r="B179" s="431"/>
      <c r="C179" s="425"/>
      <c r="D179" s="467"/>
      <c r="E179" s="473"/>
      <c r="F179" s="473"/>
      <c r="G179" s="473"/>
      <c r="H179" s="473"/>
      <c r="I179" s="473"/>
      <c r="J179" s="473"/>
      <c r="K179" s="473"/>
      <c r="L179" s="150">
        <v>153</v>
      </c>
      <c r="M179" s="125" t="s">
        <v>28</v>
      </c>
      <c r="N179" s="128"/>
      <c r="O179" s="126"/>
      <c r="P179" s="489"/>
      <c r="Q179" s="137"/>
    </row>
    <row r="180" spans="1:24">
      <c r="A180" s="428"/>
      <c r="B180" s="431"/>
      <c r="C180" s="425"/>
      <c r="D180" s="467"/>
      <c r="E180" s="473"/>
      <c r="F180" s="473"/>
      <c r="G180" s="473"/>
      <c r="H180" s="473"/>
      <c r="I180" s="473"/>
      <c r="J180" s="473"/>
      <c r="K180" s="473"/>
      <c r="L180" s="149">
        <v>154</v>
      </c>
      <c r="M180" s="125" t="s">
        <v>28</v>
      </c>
      <c r="N180" s="128"/>
      <c r="O180" s="126"/>
      <c r="P180" s="489"/>
      <c r="Q180" s="137"/>
    </row>
    <row r="181" spans="1:24" ht="15.75" thickBot="1">
      <c r="A181" s="428"/>
      <c r="B181" s="431"/>
      <c r="C181" s="425"/>
      <c r="D181" s="467"/>
      <c r="E181" s="473"/>
      <c r="F181" s="473"/>
      <c r="G181" s="473"/>
      <c r="H181" s="473"/>
      <c r="I181" s="473"/>
      <c r="J181" s="473"/>
      <c r="K181" s="473"/>
      <c r="L181" s="150">
        <v>155</v>
      </c>
      <c r="M181" s="125" t="s">
        <v>28</v>
      </c>
      <c r="N181" s="128"/>
      <c r="O181" s="126"/>
      <c r="P181" s="489"/>
      <c r="Q181" s="137"/>
    </row>
    <row r="182" spans="1:24">
      <c r="A182" s="428"/>
      <c r="B182" s="431"/>
      <c r="C182" s="425"/>
      <c r="D182" s="467"/>
      <c r="E182" s="473"/>
      <c r="F182" s="473"/>
      <c r="G182" s="473"/>
      <c r="H182" s="473"/>
      <c r="I182" s="473"/>
      <c r="J182" s="473"/>
      <c r="K182" s="473"/>
      <c r="L182" s="149">
        <v>156</v>
      </c>
      <c r="M182" s="130" t="s">
        <v>28</v>
      </c>
      <c r="N182" s="128"/>
      <c r="O182" s="126"/>
      <c r="P182" s="489"/>
      <c r="Q182" s="137"/>
    </row>
    <row r="183" spans="1:24" ht="15.75" thickBot="1">
      <c r="A183" s="428"/>
      <c r="B183" s="431"/>
      <c r="C183" s="425"/>
      <c r="D183" s="467"/>
      <c r="E183" s="473"/>
      <c r="F183" s="473"/>
      <c r="G183" s="473"/>
      <c r="H183" s="473"/>
      <c r="I183" s="473"/>
      <c r="J183" s="473"/>
      <c r="K183" s="473"/>
      <c r="L183" s="150">
        <v>157</v>
      </c>
      <c r="M183" s="125" t="s">
        <v>28</v>
      </c>
      <c r="N183" s="128"/>
      <c r="O183" s="126"/>
      <c r="P183" s="489"/>
      <c r="Q183" s="137"/>
    </row>
    <row r="184" spans="1:24">
      <c r="A184" s="428"/>
      <c r="B184" s="431"/>
      <c r="C184" s="425"/>
      <c r="D184" s="467"/>
      <c r="E184" s="473"/>
      <c r="F184" s="473"/>
      <c r="G184" s="473"/>
      <c r="H184" s="473"/>
      <c r="I184" s="473"/>
      <c r="J184" s="473"/>
      <c r="K184" s="473"/>
      <c r="L184" s="149">
        <v>158</v>
      </c>
      <c r="M184" s="125" t="s">
        <v>28</v>
      </c>
      <c r="N184" s="128"/>
      <c r="O184" s="126"/>
      <c r="P184" s="489"/>
      <c r="Q184" s="137"/>
    </row>
    <row r="185" spans="1:24" ht="15.75" thickBot="1">
      <c r="A185" s="428"/>
      <c r="B185" s="431"/>
      <c r="C185" s="425"/>
      <c r="D185" s="467"/>
      <c r="E185" s="473"/>
      <c r="F185" s="473"/>
      <c r="G185" s="473"/>
      <c r="H185" s="473"/>
      <c r="I185" s="473"/>
      <c r="J185" s="473"/>
      <c r="K185" s="473"/>
      <c r="L185" s="150">
        <v>159</v>
      </c>
      <c r="M185" s="125" t="s">
        <v>28</v>
      </c>
      <c r="N185" s="128"/>
      <c r="O185" s="126"/>
      <c r="P185" s="489"/>
      <c r="Q185" s="137"/>
    </row>
    <row r="186" spans="1:24">
      <c r="A186" s="428"/>
      <c r="B186" s="431"/>
      <c r="C186" s="425"/>
      <c r="D186" s="467"/>
      <c r="E186" s="473"/>
      <c r="F186" s="473"/>
      <c r="G186" s="473"/>
      <c r="H186" s="473"/>
      <c r="I186" s="473"/>
      <c r="J186" s="473"/>
      <c r="K186" s="473"/>
      <c r="L186" s="149">
        <v>160</v>
      </c>
      <c r="M186" s="125" t="s">
        <v>28</v>
      </c>
      <c r="N186" s="128"/>
      <c r="O186" s="126"/>
      <c r="P186" s="489"/>
      <c r="Q186" s="137"/>
    </row>
    <row r="187" spans="1:24" ht="15.75" thickBot="1">
      <c r="A187" s="428"/>
      <c r="B187" s="431"/>
      <c r="C187" s="426"/>
      <c r="D187" s="468"/>
      <c r="E187" s="474"/>
      <c r="F187" s="474"/>
      <c r="G187" s="474"/>
      <c r="H187" s="474"/>
      <c r="I187" s="474"/>
      <c r="J187" s="474"/>
      <c r="K187" s="474"/>
      <c r="L187" s="150">
        <v>161</v>
      </c>
      <c r="M187" s="138" t="s">
        <v>28</v>
      </c>
      <c r="N187" s="148"/>
      <c r="O187" s="139"/>
      <c r="P187" s="490"/>
      <c r="Q187" s="140"/>
    </row>
    <row r="188" spans="1:24">
      <c r="A188" s="428"/>
      <c r="B188" s="431"/>
      <c r="C188" s="424" t="str">
        <f>'Step 1 - System Definition'!O14</f>
        <v>Local HMI</v>
      </c>
      <c r="D188" s="475" t="str">
        <f>'Step 5 - Mitigation Analysis'!F16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188" s="478" t="str">
        <f>'Step 5 - Mitigation Analysis'!I16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188" s="478" t="str">
        <f>'Step 5 - Mitigation Analysis'!L16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188" s="478" t="str">
        <f>'Step 5 - Mitigation Analysis'!O16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188" s="478" t="str">
        <f>'Step 5 - Mitigation Analysis'!R16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188" s="478" t="str">
        <f>'Step 5 - Mitigation Analysis'!U16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188" s="478" t="str">
        <f>'Step 5 - Mitigation Analysis'!X16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188" s="478" t="str">
        <f>'Step 5 - Mitigation Analysis'!AA16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188" s="149">
        <v>162</v>
      </c>
      <c r="M188" s="134" t="s">
        <v>28</v>
      </c>
      <c r="N188" s="147"/>
      <c r="O188" s="135"/>
      <c r="P188" s="136"/>
      <c r="R188" s="118"/>
      <c r="S188" s="118"/>
      <c r="T188" s="118"/>
      <c r="U188" s="118"/>
      <c r="V188" s="118"/>
      <c r="W188" s="118"/>
      <c r="X188" s="118"/>
    </row>
    <row r="189" spans="1:24">
      <c r="A189" s="428"/>
      <c r="B189" s="431"/>
      <c r="C189" s="425"/>
      <c r="D189" s="476"/>
      <c r="E189" s="479"/>
      <c r="F189" s="479"/>
      <c r="G189" s="479"/>
      <c r="H189" s="479"/>
      <c r="I189" s="479"/>
      <c r="J189" s="479"/>
      <c r="K189" s="479"/>
      <c r="L189" s="150">
        <v>163</v>
      </c>
      <c r="M189" s="130" t="s">
        <v>28</v>
      </c>
      <c r="N189" s="128"/>
      <c r="O189" s="126"/>
      <c r="P189" s="137"/>
      <c r="R189" s="118"/>
      <c r="S189" s="118"/>
      <c r="T189" s="118"/>
      <c r="U189" s="118"/>
      <c r="V189" s="118"/>
      <c r="W189" s="118"/>
      <c r="X189" s="118"/>
    </row>
    <row r="190" spans="1:24">
      <c r="A190" s="428"/>
      <c r="B190" s="431"/>
      <c r="C190" s="425"/>
      <c r="D190" s="476"/>
      <c r="E190" s="479"/>
      <c r="F190" s="479"/>
      <c r="G190" s="479"/>
      <c r="H190" s="479"/>
      <c r="I190" s="479"/>
      <c r="J190" s="479"/>
      <c r="K190" s="479"/>
      <c r="L190" s="150">
        <v>164</v>
      </c>
      <c r="M190" s="125" t="s">
        <v>28</v>
      </c>
      <c r="N190" s="128"/>
      <c r="O190" s="126"/>
      <c r="P190" s="137"/>
      <c r="R190" s="118"/>
      <c r="S190" s="118"/>
      <c r="T190" s="118"/>
      <c r="U190" s="118"/>
      <c r="V190" s="118"/>
      <c r="W190" s="118"/>
      <c r="X190" s="118"/>
    </row>
    <row r="191" spans="1:24">
      <c r="A191" s="428"/>
      <c r="B191" s="431"/>
      <c r="C191" s="425"/>
      <c r="D191" s="476"/>
      <c r="E191" s="479"/>
      <c r="F191" s="479"/>
      <c r="G191" s="479"/>
      <c r="H191" s="479"/>
      <c r="I191" s="479"/>
      <c r="J191" s="479"/>
      <c r="K191" s="479"/>
      <c r="L191" s="150">
        <v>165</v>
      </c>
      <c r="M191" s="130" t="s">
        <v>28</v>
      </c>
      <c r="N191" s="128"/>
      <c r="O191" s="126"/>
      <c r="P191" s="137"/>
      <c r="R191" s="118"/>
      <c r="S191" s="118"/>
      <c r="T191" s="118"/>
      <c r="U191" s="118"/>
      <c r="V191" s="118"/>
      <c r="W191" s="118"/>
      <c r="X191" s="118"/>
    </row>
    <row r="192" spans="1:24">
      <c r="A192" s="428"/>
      <c r="B192" s="431"/>
      <c r="C192" s="425"/>
      <c r="D192" s="476"/>
      <c r="E192" s="479"/>
      <c r="F192" s="479"/>
      <c r="G192" s="479"/>
      <c r="H192" s="479"/>
      <c r="I192" s="479"/>
      <c r="J192" s="479"/>
      <c r="K192" s="479"/>
      <c r="L192" s="150">
        <v>166</v>
      </c>
      <c r="M192" s="125" t="s">
        <v>28</v>
      </c>
      <c r="N192" s="154"/>
      <c r="O192" s="126"/>
      <c r="P192" s="137"/>
      <c r="R192" s="118"/>
      <c r="S192" s="118"/>
      <c r="T192" s="118"/>
      <c r="U192" s="118"/>
      <c r="V192" s="118"/>
      <c r="W192" s="118"/>
      <c r="X192" s="118"/>
    </row>
    <row r="193" spans="1:24" ht="24">
      <c r="A193" s="428"/>
      <c r="B193" s="431"/>
      <c r="C193" s="425"/>
      <c r="D193" s="476"/>
      <c r="E193" s="479"/>
      <c r="F193" s="479"/>
      <c r="G193" s="479"/>
      <c r="H193" s="479"/>
      <c r="I193" s="479"/>
      <c r="J193" s="479"/>
      <c r="K193" s="479"/>
      <c r="L193" s="150">
        <v>167</v>
      </c>
      <c r="M193" s="130" t="s">
        <v>28</v>
      </c>
      <c r="N193" s="125" t="s">
        <v>283</v>
      </c>
      <c r="O193" s="126" t="s">
        <v>132</v>
      </c>
      <c r="P193" s="121" t="s">
        <v>138</v>
      </c>
      <c r="R193" s="118"/>
      <c r="S193" s="118"/>
      <c r="T193" s="118"/>
      <c r="U193" s="118"/>
      <c r="V193" s="118"/>
      <c r="W193" s="118"/>
      <c r="X193" s="118"/>
    </row>
    <row r="194" spans="1:24">
      <c r="A194" s="428"/>
      <c r="B194" s="431"/>
      <c r="C194" s="425"/>
      <c r="D194" s="476"/>
      <c r="E194" s="479"/>
      <c r="F194" s="479"/>
      <c r="G194" s="479"/>
      <c r="H194" s="479"/>
      <c r="I194" s="479"/>
      <c r="J194" s="479"/>
      <c r="K194" s="479"/>
      <c r="L194" s="150">
        <v>168</v>
      </c>
      <c r="M194" s="125" t="s">
        <v>28</v>
      </c>
      <c r="N194" s="125" t="s">
        <v>283</v>
      </c>
      <c r="O194" s="126" t="s">
        <v>158</v>
      </c>
      <c r="P194" s="121" t="s">
        <v>159</v>
      </c>
      <c r="R194" s="118"/>
      <c r="S194" s="118"/>
      <c r="T194" s="118"/>
      <c r="U194" s="118"/>
      <c r="V194" s="118"/>
      <c r="W194" s="118"/>
      <c r="X194" s="118"/>
    </row>
    <row r="195" spans="1:24">
      <c r="A195" s="428"/>
      <c r="B195" s="431"/>
      <c r="C195" s="425"/>
      <c r="D195" s="476"/>
      <c r="E195" s="479"/>
      <c r="F195" s="479"/>
      <c r="G195" s="479"/>
      <c r="H195" s="479"/>
      <c r="I195" s="479"/>
      <c r="J195" s="479"/>
      <c r="K195" s="479"/>
      <c r="L195" s="150">
        <v>169</v>
      </c>
      <c r="M195" s="130" t="s">
        <v>28</v>
      </c>
      <c r="N195" s="128"/>
      <c r="O195" s="126"/>
      <c r="P195" s="137"/>
      <c r="R195" s="118"/>
      <c r="S195" s="118"/>
      <c r="T195" s="118"/>
      <c r="U195" s="118"/>
      <c r="V195" s="118"/>
      <c r="W195" s="118"/>
      <c r="X195" s="118"/>
    </row>
    <row r="196" spans="1:24">
      <c r="A196" s="428"/>
      <c r="B196" s="431"/>
      <c r="C196" s="425"/>
      <c r="D196" s="476"/>
      <c r="E196" s="479"/>
      <c r="F196" s="479"/>
      <c r="G196" s="479"/>
      <c r="H196" s="479"/>
      <c r="I196" s="479"/>
      <c r="J196" s="479"/>
      <c r="K196" s="479"/>
      <c r="L196" s="150">
        <v>170</v>
      </c>
      <c r="M196" s="125" t="s">
        <v>28</v>
      </c>
      <c r="N196" s="128"/>
      <c r="O196" s="126"/>
      <c r="P196" s="137"/>
      <c r="R196" s="118"/>
      <c r="S196" s="118"/>
      <c r="T196" s="118"/>
      <c r="U196" s="118"/>
      <c r="V196" s="118"/>
      <c r="W196" s="118"/>
      <c r="X196" s="118"/>
    </row>
    <row r="197" spans="1:24">
      <c r="A197" s="428"/>
      <c r="B197" s="431"/>
      <c r="C197" s="425"/>
      <c r="D197" s="476"/>
      <c r="E197" s="479"/>
      <c r="F197" s="479"/>
      <c r="G197" s="479"/>
      <c r="H197" s="479"/>
      <c r="I197" s="479"/>
      <c r="J197" s="479"/>
      <c r="K197" s="479"/>
      <c r="L197" s="150">
        <v>171</v>
      </c>
      <c r="M197" s="130" t="s">
        <v>28</v>
      </c>
      <c r="N197" s="128"/>
      <c r="O197" s="126"/>
      <c r="P197" s="137"/>
      <c r="R197" s="118"/>
      <c r="S197" s="118"/>
      <c r="T197" s="118"/>
      <c r="U197" s="118"/>
      <c r="V197" s="118"/>
      <c r="W197" s="118"/>
      <c r="X197" s="118"/>
    </row>
    <row r="198" spans="1:24">
      <c r="A198" s="428"/>
      <c r="B198" s="431"/>
      <c r="C198" s="425"/>
      <c r="D198" s="476"/>
      <c r="E198" s="479"/>
      <c r="F198" s="479"/>
      <c r="G198" s="479"/>
      <c r="H198" s="479"/>
      <c r="I198" s="479"/>
      <c r="J198" s="479"/>
      <c r="K198" s="479"/>
      <c r="L198" s="150">
        <v>172</v>
      </c>
      <c r="M198" s="125" t="s">
        <v>28</v>
      </c>
      <c r="N198" s="128"/>
      <c r="O198" s="126"/>
      <c r="P198" s="137"/>
      <c r="R198" s="118"/>
      <c r="S198" s="118"/>
      <c r="T198" s="118"/>
      <c r="U198" s="118"/>
      <c r="V198" s="118"/>
      <c r="W198" s="118"/>
      <c r="X198" s="118"/>
    </row>
    <row r="199" spans="1:24">
      <c r="A199" s="428"/>
      <c r="B199" s="431"/>
      <c r="C199" s="425"/>
      <c r="D199" s="476"/>
      <c r="E199" s="479"/>
      <c r="F199" s="479"/>
      <c r="G199" s="479"/>
      <c r="H199" s="479"/>
      <c r="I199" s="479"/>
      <c r="J199" s="479"/>
      <c r="K199" s="479"/>
      <c r="L199" s="150">
        <v>173</v>
      </c>
      <c r="M199" s="130" t="s">
        <v>28</v>
      </c>
      <c r="N199" s="128"/>
      <c r="O199" s="126"/>
      <c r="P199" s="137"/>
      <c r="R199" s="118"/>
      <c r="S199" s="118"/>
      <c r="T199" s="118"/>
      <c r="U199" s="118"/>
      <c r="V199" s="118"/>
      <c r="W199" s="118"/>
      <c r="X199" s="118"/>
    </row>
    <row r="200" spans="1:24">
      <c r="A200" s="428"/>
      <c r="B200" s="431"/>
      <c r="C200" s="425"/>
      <c r="D200" s="476"/>
      <c r="E200" s="479"/>
      <c r="F200" s="479"/>
      <c r="G200" s="479"/>
      <c r="H200" s="479"/>
      <c r="I200" s="479"/>
      <c r="J200" s="479"/>
      <c r="K200" s="479"/>
      <c r="L200" s="150">
        <v>174</v>
      </c>
      <c r="M200" s="125" t="s">
        <v>28</v>
      </c>
      <c r="N200" s="128"/>
      <c r="O200" s="126"/>
      <c r="P200" s="137"/>
      <c r="R200" s="118"/>
      <c r="S200" s="118"/>
      <c r="T200" s="118"/>
      <c r="U200" s="118"/>
      <c r="V200" s="118"/>
      <c r="W200" s="118"/>
      <c r="X200" s="118"/>
    </row>
    <row r="201" spans="1:24">
      <c r="A201" s="428"/>
      <c r="B201" s="431"/>
      <c r="C201" s="425"/>
      <c r="D201" s="476"/>
      <c r="E201" s="479"/>
      <c r="F201" s="479"/>
      <c r="G201" s="479"/>
      <c r="H201" s="479"/>
      <c r="I201" s="479"/>
      <c r="J201" s="479"/>
      <c r="K201" s="479"/>
      <c r="L201" s="150">
        <v>175</v>
      </c>
      <c r="M201" s="130" t="s">
        <v>28</v>
      </c>
      <c r="N201" s="128"/>
      <c r="O201" s="126"/>
      <c r="P201" s="137"/>
      <c r="R201" s="118"/>
      <c r="S201" s="118"/>
      <c r="T201" s="118"/>
      <c r="U201" s="118"/>
      <c r="V201" s="118"/>
      <c r="W201" s="118"/>
      <c r="X201" s="118"/>
    </row>
    <row r="202" spans="1:24" ht="15.75" thickBot="1">
      <c r="A202" s="428"/>
      <c r="B202" s="431"/>
      <c r="C202" s="426"/>
      <c r="D202" s="477"/>
      <c r="E202" s="480"/>
      <c r="F202" s="480"/>
      <c r="G202" s="480"/>
      <c r="H202" s="480"/>
      <c r="I202" s="480"/>
      <c r="J202" s="480"/>
      <c r="K202" s="480"/>
      <c r="L202" s="151">
        <v>176</v>
      </c>
      <c r="M202" s="138" t="s">
        <v>28</v>
      </c>
      <c r="N202" s="148"/>
      <c r="O202" s="139"/>
      <c r="P202" s="140"/>
      <c r="R202" s="118"/>
      <c r="S202" s="118"/>
      <c r="T202" s="118"/>
      <c r="U202" s="118"/>
      <c r="V202" s="118"/>
      <c r="W202" s="118"/>
      <c r="X202" s="118"/>
    </row>
    <row r="203" spans="1:24">
      <c r="A203" s="428"/>
      <c r="B203" s="431" t="s">
        <v>173</v>
      </c>
      <c r="C203" s="424" t="str">
        <f>'Step 1 - System Definition'!O15</f>
        <v>BESS Controller</v>
      </c>
      <c r="D203" s="475" t="str">
        <f>'Step 5 - Mitigation Analysis'!F17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203" s="478" t="str">
        <f>'Step 5 - Mitigation Analysis'!I17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203" s="478" t="str">
        <f>'Step 5 - Mitigation Analysis'!L17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203" s="478" t="str">
        <f>'Step 5 - Mitigation Analysis'!O17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203" s="478" t="str">
        <f>'Step 5 - Mitigation Analysis'!R17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203" s="478" t="str">
        <f>'Step 5 - Mitigation Analysis'!U17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203" s="478" t="str">
        <f>'Step 5 - Mitigation Analysis'!X17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203" s="478" t="str">
        <f>'Step 5 - Mitigation Analysis'!AA17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203" s="149">
        <v>177</v>
      </c>
      <c r="M203" s="134" t="s">
        <v>28</v>
      </c>
      <c r="N203" s="134" t="s">
        <v>283</v>
      </c>
      <c r="O203" s="135" t="s">
        <v>118</v>
      </c>
      <c r="P203" s="153" t="s">
        <v>329</v>
      </c>
      <c r="R203" s="118"/>
      <c r="S203" s="118"/>
      <c r="T203" s="118"/>
      <c r="U203" s="118"/>
      <c r="V203" s="118"/>
      <c r="W203" s="118"/>
      <c r="X203" s="118"/>
    </row>
    <row r="204" spans="1:24" ht="30">
      <c r="A204" s="428"/>
      <c r="B204" s="431"/>
      <c r="C204" s="425"/>
      <c r="D204" s="476"/>
      <c r="E204" s="479"/>
      <c r="F204" s="479"/>
      <c r="G204" s="479"/>
      <c r="H204" s="479"/>
      <c r="I204" s="479"/>
      <c r="J204" s="479"/>
      <c r="K204" s="479"/>
      <c r="L204" s="150">
        <v>178</v>
      </c>
      <c r="M204" s="125" t="s">
        <v>28</v>
      </c>
      <c r="N204" s="125" t="s">
        <v>283</v>
      </c>
      <c r="O204" s="127" t="s">
        <v>118</v>
      </c>
      <c r="P204" s="146" t="s">
        <v>120</v>
      </c>
      <c r="R204" s="118"/>
      <c r="S204" s="118"/>
      <c r="T204" s="118"/>
      <c r="U204" s="118"/>
      <c r="V204" s="118"/>
      <c r="W204" s="118"/>
      <c r="X204" s="118"/>
    </row>
    <row r="205" spans="1:24">
      <c r="A205" s="428"/>
      <c r="B205" s="431"/>
      <c r="C205" s="425"/>
      <c r="D205" s="476"/>
      <c r="E205" s="479"/>
      <c r="F205" s="479"/>
      <c r="G205" s="479"/>
      <c r="H205" s="479"/>
      <c r="I205" s="479"/>
      <c r="J205" s="479"/>
      <c r="K205" s="479"/>
      <c r="L205" s="150">
        <v>179</v>
      </c>
      <c r="M205" s="130" t="s">
        <v>28</v>
      </c>
      <c r="N205" s="128"/>
      <c r="O205" s="126"/>
      <c r="P205" s="137"/>
      <c r="R205" s="118"/>
      <c r="S205" s="118"/>
      <c r="T205" s="118"/>
      <c r="U205" s="118"/>
      <c r="V205" s="118"/>
      <c r="W205" s="118"/>
      <c r="X205" s="118"/>
    </row>
    <row r="206" spans="1:24">
      <c r="A206" s="428"/>
      <c r="B206" s="431"/>
      <c r="C206" s="425"/>
      <c r="D206" s="476"/>
      <c r="E206" s="479"/>
      <c r="F206" s="479"/>
      <c r="G206" s="479"/>
      <c r="H206" s="479"/>
      <c r="I206" s="479"/>
      <c r="J206" s="479"/>
      <c r="K206" s="479"/>
      <c r="L206" s="150">
        <v>180</v>
      </c>
      <c r="M206" s="125" t="s">
        <v>28</v>
      </c>
      <c r="N206" s="128"/>
      <c r="O206" s="126"/>
      <c r="P206" s="137"/>
      <c r="R206" s="118"/>
      <c r="S206" s="118"/>
      <c r="T206" s="118"/>
      <c r="U206" s="118"/>
      <c r="V206" s="118"/>
      <c r="W206" s="118"/>
      <c r="X206" s="118"/>
    </row>
    <row r="207" spans="1:24">
      <c r="A207" s="428"/>
      <c r="B207" s="431"/>
      <c r="C207" s="425"/>
      <c r="D207" s="476"/>
      <c r="E207" s="479"/>
      <c r="F207" s="479"/>
      <c r="G207" s="479"/>
      <c r="H207" s="479"/>
      <c r="I207" s="479"/>
      <c r="J207" s="479"/>
      <c r="K207" s="479"/>
      <c r="L207" s="150">
        <v>181</v>
      </c>
      <c r="M207" s="130" t="s">
        <v>28</v>
      </c>
      <c r="N207" s="128"/>
      <c r="O207" s="126"/>
      <c r="P207" s="137"/>
      <c r="R207" s="118"/>
      <c r="S207" s="118"/>
      <c r="T207" s="118"/>
      <c r="U207" s="118"/>
      <c r="V207" s="118"/>
      <c r="W207" s="118"/>
      <c r="X207" s="118"/>
    </row>
    <row r="208" spans="1:24">
      <c r="A208" s="428"/>
      <c r="B208" s="431"/>
      <c r="C208" s="425"/>
      <c r="D208" s="476"/>
      <c r="E208" s="479"/>
      <c r="F208" s="479"/>
      <c r="G208" s="479"/>
      <c r="H208" s="479"/>
      <c r="I208" s="479"/>
      <c r="J208" s="479"/>
      <c r="K208" s="479"/>
      <c r="L208" s="150">
        <v>182</v>
      </c>
      <c r="M208" s="125" t="s">
        <v>28</v>
      </c>
      <c r="N208" s="128"/>
      <c r="O208" s="126"/>
      <c r="P208" s="137"/>
      <c r="R208" s="118"/>
      <c r="S208" s="118"/>
      <c r="T208" s="118"/>
      <c r="U208" s="118"/>
      <c r="V208" s="118"/>
      <c r="W208" s="118"/>
      <c r="X208" s="118"/>
    </row>
    <row r="209" spans="1:24">
      <c r="A209" s="428"/>
      <c r="B209" s="431"/>
      <c r="C209" s="425"/>
      <c r="D209" s="476"/>
      <c r="E209" s="479"/>
      <c r="F209" s="479"/>
      <c r="G209" s="479"/>
      <c r="H209" s="479"/>
      <c r="I209" s="479"/>
      <c r="J209" s="479"/>
      <c r="K209" s="479"/>
      <c r="L209" s="150">
        <v>183</v>
      </c>
      <c r="M209" s="130" t="s">
        <v>28</v>
      </c>
      <c r="N209" s="154"/>
      <c r="O209" s="126"/>
      <c r="P209" s="137"/>
      <c r="R209" s="118"/>
      <c r="S209" s="118"/>
      <c r="T209" s="118"/>
      <c r="U209" s="118"/>
      <c r="V209" s="118"/>
      <c r="W209" s="118"/>
      <c r="X209" s="118"/>
    </row>
    <row r="210" spans="1:24" ht="24">
      <c r="A210" s="428"/>
      <c r="B210" s="431"/>
      <c r="C210" s="425"/>
      <c r="D210" s="476"/>
      <c r="E210" s="479"/>
      <c r="F210" s="479"/>
      <c r="G210" s="479"/>
      <c r="H210" s="479"/>
      <c r="I210" s="479"/>
      <c r="J210" s="479"/>
      <c r="K210" s="479"/>
      <c r="L210" s="150">
        <v>184</v>
      </c>
      <c r="M210" s="125" t="s">
        <v>28</v>
      </c>
      <c r="N210" s="125" t="s">
        <v>283</v>
      </c>
      <c r="O210" s="126" t="s">
        <v>132</v>
      </c>
      <c r="P210" s="121" t="s">
        <v>138</v>
      </c>
      <c r="R210" s="118"/>
      <c r="S210" s="118"/>
      <c r="T210" s="118"/>
      <c r="U210" s="118"/>
      <c r="V210" s="118"/>
      <c r="W210" s="118"/>
      <c r="X210" s="118"/>
    </row>
    <row r="211" spans="1:24" ht="24">
      <c r="A211" s="428"/>
      <c r="B211" s="431"/>
      <c r="C211" s="425"/>
      <c r="D211" s="476"/>
      <c r="E211" s="479"/>
      <c r="F211" s="479"/>
      <c r="G211" s="479"/>
      <c r="H211" s="479"/>
      <c r="I211" s="479"/>
      <c r="J211" s="479"/>
      <c r="K211" s="479"/>
      <c r="L211" s="150">
        <v>185</v>
      </c>
      <c r="M211" s="130" t="s">
        <v>28</v>
      </c>
      <c r="N211" s="125" t="s">
        <v>283</v>
      </c>
      <c r="O211" s="126" t="s">
        <v>132</v>
      </c>
      <c r="P211" s="121" t="s">
        <v>139</v>
      </c>
      <c r="R211" s="118"/>
      <c r="S211" s="118"/>
      <c r="T211" s="118"/>
      <c r="U211" s="118"/>
      <c r="V211" s="118"/>
      <c r="W211" s="118"/>
      <c r="X211" s="118"/>
    </row>
    <row r="212" spans="1:24">
      <c r="A212" s="428"/>
      <c r="B212" s="431"/>
      <c r="C212" s="425"/>
      <c r="D212" s="476"/>
      <c r="E212" s="479"/>
      <c r="F212" s="479"/>
      <c r="G212" s="479"/>
      <c r="H212" s="479"/>
      <c r="I212" s="479"/>
      <c r="J212" s="479"/>
      <c r="K212" s="479"/>
      <c r="L212" s="150">
        <v>186</v>
      </c>
      <c r="M212" s="125" t="s">
        <v>28</v>
      </c>
      <c r="N212" s="128"/>
      <c r="O212" s="126"/>
      <c r="P212" s="137"/>
      <c r="R212" s="118"/>
      <c r="S212" s="118"/>
      <c r="T212" s="118"/>
      <c r="U212" s="118"/>
      <c r="V212" s="118"/>
      <c r="W212" s="118"/>
      <c r="X212" s="118"/>
    </row>
    <row r="213" spans="1:24">
      <c r="A213" s="428"/>
      <c r="B213" s="431"/>
      <c r="C213" s="425"/>
      <c r="D213" s="476"/>
      <c r="E213" s="479"/>
      <c r="F213" s="479"/>
      <c r="G213" s="479"/>
      <c r="H213" s="479"/>
      <c r="I213" s="479"/>
      <c r="J213" s="479"/>
      <c r="K213" s="479"/>
      <c r="L213" s="150">
        <v>187</v>
      </c>
      <c r="M213" s="130" t="s">
        <v>28</v>
      </c>
      <c r="N213" s="128"/>
      <c r="O213" s="126"/>
      <c r="P213" s="137"/>
      <c r="R213" s="118"/>
      <c r="S213" s="118"/>
      <c r="T213" s="118"/>
      <c r="U213" s="118"/>
      <c r="V213" s="118"/>
      <c r="W213" s="118"/>
      <c r="X213" s="118"/>
    </row>
    <row r="214" spans="1:24">
      <c r="A214" s="428"/>
      <c r="B214" s="431"/>
      <c r="C214" s="425"/>
      <c r="D214" s="476"/>
      <c r="E214" s="479"/>
      <c r="F214" s="479"/>
      <c r="G214" s="479"/>
      <c r="H214" s="479"/>
      <c r="I214" s="479"/>
      <c r="J214" s="479"/>
      <c r="K214" s="479"/>
      <c r="L214" s="150">
        <v>188</v>
      </c>
      <c r="M214" s="125" t="s">
        <v>28</v>
      </c>
      <c r="N214" s="128"/>
      <c r="O214" s="126"/>
      <c r="P214" s="137"/>
      <c r="R214" s="118"/>
      <c r="S214" s="118"/>
      <c r="T214" s="118"/>
      <c r="U214" s="118"/>
      <c r="V214" s="118"/>
      <c r="W214" s="118"/>
      <c r="X214" s="118"/>
    </row>
    <row r="215" spans="1:24">
      <c r="A215" s="428"/>
      <c r="B215" s="431"/>
      <c r="C215" s="425"/>
      <c r="D215" s="476"/>
      <c r="E215" s="479"/>
      <c r="F215" s="479"/>
      <c r="G215" s="479"/>
      <c r="H215" s="479"/>
      <c r="I215" s="479"/>
      <c r="J215" s="479"/>
      <c r="K215" s="479"/>
      <c r="L215" s="150">
        <v>189</v>
      </c>
      <c r="M215" s="130" t="s">
        <v>28</v>
      </c>
      <c r="N215" s="128"/>
      <c r="O215" s="126"/>
      <c r="P215" s="137"/>
      <c r="R215" s="118"/>
      <c r="S215" s="118"/>
      <c r="T215" s="118"/>
      <c r="U215" s="118"/>
      <c r="V215" s="118"/>
      <c r="W215" s="118"/>
      <c r="X215" s="118"/>
    </row>
    <row r="216" spans="1:24">
      <c r="A216" s="428"/>
      <c r="B216" s="431"/>
      <c r="C216" s="425"/>
      <c r="D216" s="476"/>
      <c r="E216" s="479"/>
      <c r="F216" s="479"/>
      <c r="G216" s="479"/>
      <c r="H216" s="479"/>
      <c r="I216" s="479"/>
      <c r="J216" s="479"/>
      <c r="K216" s="479"/>
      <c r="L216" s="150">
        <v>190</v>
      </c>
      <c r="M216" s="125" t="s">
        <v>28</v>
      </c>
      <c r="N216" s="128"/>
      <c r="O216" s="126"/>
      <c r="P216" s="137"/>
      <c r="R216" s="118"/>
      <c r="S216" s="118"/>
      <c r="T216" s="118"/>
      <c r="U216" s="118"/>
      <c r="V216" s="118"/>
      <c r="W216" s="118"/>
      <c r="X216" s="118"/>
    </row>
    <row r="217" spans="1:24">
      <c r="A217" s="428"/>
      <c r="B217" s="431"/>
      <c r="C217" s="425"/>
      <c r="D217" s="476"/>
      <c r="E217" s="479"/>
      <c r="F217" s="479"/>
      <c r="G217" s="479"/>
      <c r="H217" s="479"/>
      <c r="I217" s="479"/>
      <c r="J217" s="479"/>
      <c r="K217" s="479"/>
      <c r="L217" s="150">
        <v>191</v>
      </c>
      <c r="M217" s="130" t="s">
        <v>28</v>
      </c>
      <c r="N217" s="128"/>
      <c r="O217" s="126"/>
      <c r="P217" s="137"/>
      <c r="R217" s="118"/>
      <c r="S217" s="118"/>
      <c r="T217" s="118"/>
      <c r="U217" s="118"/>
      <c r="V217" s="118"/>
      <c r="W217" s="118"/>
      <c r="X217" s="118"/>
    </row>
    <row r="218" spans="1:24" ht="15.75" thickBot="1">
      <c r="A218" s="428"/>
      <c r="B218" s="431"/>
      <c r="C218" s="426"/>
      <c r="D218" s="477"/>
      <c r="E218" s="480"/>
      <c r="F218" s="480"/>
      <c r="G218" s="480"/>
      <c r="H218" s="480"/>
      <c r="I218" s="480"/>
      <c r="J218" s="480"/>
      <c r="K218" s="480"/>
      <c r="L218" s="151">
        <v>192</v>
      </c>
      <c r="M218" s="138" t="s">
        <v>28</v>
      </c>
      <c r="N218" s="148"/>
      <c r="O218" s="139"/>
      <c r="P218" s="140"/>
      <c r="R218" s="118"/>
      <c r="S218" s="118"/>
      <c r="T218" s="118"/>
      <c r="U218" s="118"/>
      <c r="V218" s="118"/>
      <c r="W218" s="118"/>
      <c r="X218" s="118"/>
    </row>
    <row r="219" spans="1:24">
      <c r="A219" s="428"/>
      <c r="B219" s="431"/>
      <c r="C219" s="424" t="str">
        <f>'Step 1 - System Definition'!O16</f>
        <v>Site Controller</v>
      </c>
      <c r="D219" s="475" t="str">
        <f>'Step 5 - Mitigation Analysis'!F18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219" s="478" t="str">
        <f>'Step 5 - Mitigation Analysis'!I18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219" s="478" t="str">
        <f>'Step 5 - Mitigation Analysis'!L18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219" s="478" t="str">
        <f>'Step 5 - Mitigation Analysis'!O18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219" s="478" t="str">
        <f>'Step 5 - Mitigation Analysis'!R18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219" s="478" t="str">
        <f>'Step 5 - Mitigation Analysis'!U18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219" s="478" t="str">
        <f>'Step 5 - Mitigation Analysis'!X18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219" s="478" t="str">
        <f>'Step 5 - Mitigation Analysis'!AA18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219" s="149">
        <v>193</v>
      </c>
      <c r="M219" s="134" t="s">
        <v>28</v>
      </c>
      <c r="N219" s="134" t="s">
        <v>283</v>
      </c>
      <c r="O219" s="135" t="s">
        <v>118</v>
      </c>
      <c r="P219" s="145" t="s">
        <v>329</v>
      </c>
      <c r="R219" s="118"/>
      <c r="S219" s="118"/>
      <c r="T219" s="118"/>
      <c r="U219" s="118"/>
      <c r="V219" s="118"/>
      <c r="W219" s="118"/>
      <c r="X219" s="118"/>
    </row>
    <row r="220" spans="1:24" ht="30">
      <c r="A220" s="428"/>
      <c r="B220" s="431"/>
      <c r="C220" s="425"/>
      <c r="D220" s="476"/>
      <c r="E220" s="479"/>
      <c r="F220" s="479"/>
      <c r="G220" s="479"/>
      <c r="H220" s="479"/>
      <c r="I220" s="479"/>
      <c r="J220" s="479"/>
      <c r="K220" s="479"/>
      <c r="L220" s="150">
        <v>194</v>
      </c>
      <c r="M220" s="125" t="s">
        <v>28</v>
      </c>
      <c r="N220" s="125" t="s">
        <v>283</v>
      </c>
      <c r="O220" s="127" t="s">
        <v>118</v>
      </c>
      <c r="P220" s="146" t="s">
        <v>120</v>
      </c>
      <c r="R220" s="118"/>
      <c r="S220" s="118"/>
      <c r="T220" s="118"/>
      <c r="U220" s="118"/>
      <c r="V220" s="118"/>
      <c r="W220" s="118"/>
      <c r="X220" s="118"/>
    </row>
    <row r="221" spans="1:24">
      <c r="A221" s="428"/>
      <c r="B221" s="431"/>
      <c r="C221" s="425"/>
      <c r="D221" s="476"/>
      <c r="E221" s="479"/>
      <c r="F221" s="479"/>
      <c r="G221" s="479"/>
      <c r="H221" s="479"/>
      <c r="I221" s="479"/>
      <c r="J221" s="479"/>
      <c r="K221" s="479"/>
      <c r="L221" s="150">
        <v>195</v>
      </c>
      <c r="M221" s="130" t="s">
        <v>28</v>
      </c>
      <c r="N221" s="128"/>
      <c r="O221" s="126"/>
      <c r="P221" s="137"/>
      <c r="R221" s="118"/>
      <c r="S221" s="118"/>
      <c r="T221" s="118"/>
      <c r="U221" s="118"/>
      <c r="V221" s="118"/>
      <c r="W221" s="118"/>
      <c r="X221" s="118"/>
    </row>
    <row r="222" spans="1:24">
      <c r="A222" s="428"/>
      <c r="B222" s="431"/>
      <c r="C222" s="425"/>
      <c r="D222" s="476"/>
      <c r="E222" s="479"/>
      <c r="F222" s="479"/>
      <c r="G222" s="479"/>
      <c r="H222" s="479"/>
      <c r="I222" s="479"/>
      <c r="J222" s="479"/>
      <c r="K222" s="479"/>
      <c r="L222" s="150">
        <v>196</v>
      </c>
      <c r="M222" s="125" t="s">
        <v>28</v>
      </c>
      <c r="N222" s="128"/>
      <c r="O222" s="126"/>
      <c r="P222" s="137"/>
      <c r="R222" s="118"/>
      <c r="S222" s="118"/>
      <c r="T222" s="118"/>
      <c r="U222" s="118"/>
      <c r="V222" s="118"/>
      <c r="W222" s="118"/>
      <c r="X222" s="118"/>
    </row>
    <row r="223" spans="1:24">
      <c r="A223" s="428"/>
      <c r="B223" s="431"/>
      <c r="C223" s="425"/>
      <c r="D223" s="476"/>
      <c r="E223" s="479"/>
      <c r="F223" s="479"/>
      <c r="G223" s="479"/>
      <c r="H223" s="479"/>
      <c r="I223" s="479"/>
      <c r="J223" s="479"/>
      <c r="K223" s="479"/>
      <c r="L223" s="150">
        <v>197</v>
      </c>
      <c r="M223" s="130" t="s">
        <v>28</v>
      </c>
      <c r="N223" s="128"/>
      <c r="O223" s="126"/>
      <c r="P223" s="137"/>
      <c r="R223" s="118"/>
      <c r="S223" s="118"/>
      <c r="T223" s="118"/>
      <c r="U223" s="118"/>
      <c r="V223" s="118"/>
      <c r="W223" s="118"/>
      <c r="X223" s="118"/>
    </row>
    <row r="224" spans="1:24">
      <c r="A224" s="428"/>
      <c r="B224" s="431"/>
      <c r="C224" s="425"/>
      <c r="D224" s="476"/>
      <c r="E224" s="479"/>
      <c r="F224" s="479"/>
      <c r="G224" s="479"/>
      <c r="H224" s="479"/>
      <c r="I224" s="479"/>
      <c r="J224" s="479"/>
      <c r="K224" s="479"/>
      <c r="L224" s="150">
        <v>198</v>
      </c>
      <c r="M224" s="125" t="s">
        <v>28</v>
      </c>
      <c r="N224" s="128"/>
      <c r="O224" s="126"/>
      <c r="P224" s="137"/>
      <c r="R224" s="118"/>
      <c r="S224" s="118"/>
      <c r="T224" s="118"/>
      <c r="U224" s="118"/>
      <c r="V224" s="118"/>
      <c r="W224" s="118"/>
      <c r="X224" s="118"/>
    </row>
    <row r="225" spans="1:24">
      <c r="A225" s="428"/>
      <c r="B225" s="431"/>
      <c r="C225" s="425"/>
      <c r="D225" s="476"/>
      <c r="E225" s="479"/>
      <c r="F225" s="479"/>
      <c r="G225" s="479"/>
      <c r="H225" s="479"/>
      <c r="I225" s="479"/>
      <c r="J225" s="479"/>
      <c r="K225" s="479"/>
      <c r="L225" s="150">
        <v>199</v>
      </c>
      <c r="M225" s="130" t="s">
        <v>28</v>
      </c>
      <c r="N225" s="154"/>
      <c r="O225" s="126"/>
      <c r="P225" s="137"/>
      <c r="R225" s="118"/>
      <c r="S225" s="118"/>
      <c r="T225" s="118"/>
      <c r="U225" s="118"/>
      <c r="V225" s="118"/>
      <c r="W225" s="118"/>
      <c r="X225" s="118"/>
    </row>
    <row r="226" spans="1:24" ht="24">
      <c r="A226" s="428"/>
      <c r="B226" s="431"/>
      <c r="C226" s="425"/>
      <c r="D226" s="476"/>
      <c r="E226" s="479"/>
      <c r="F226" s="479"/>
      <c r="G226" s="479"/>
      <c r="H226" s="479"/>
      <c r="I226" s="479"/>
      <c r="J226" s="479"/>
      <c r="K226" s="479"/>
      <c r="L226" s="150">
        <v>200</v>
      </c>
      <c r="M226" s="125" t="s">
        <v>28</v>
      </c>
      <c r="N226" s="125" t="s">
        <v>283</v>
      </c>
      <c r="O226" s="126" t="s">
        <v>132</v>
      </c>
      <c r="P226" s="121" t="s">
        <v>138</v>
      </c>
      <c r="R226" s="118"/>
      <c r="S226" s="118"/>
      <c r="T226" s="118"/>
      <c r="U226" s="118"/>
      <c r="V226" s="118"/>
      <c r="W226" s="118"/>
      <c r="X226" s="118"/>
    </row>
    <row r="227" spans="1:24" ht="24">
      <c r="A227" s="428"/>
      <c r="B227" s="431"/>
      <c r="C227" s="425"/>
      <c r="D227" s="476"/>
      <c r="E227" s="479"/>
      <c r="F227" s="479"/>
      <c r="G227" s="479"/>
      <c r="H227" s="479"/>
      <c r="I227" s="479"/>
      <c r="J227" s="479"/>
      <c r="K227" s="479"/>
      <c r="L227" s="150">
        <v>201</v>
      </c>
      <c r="M227" s="130" t="s">
        <v>28</v>
      </c>
      <c r="N227" s="125" t="s">
        <v>283</v>
      </c>
      <c r="O227" s="126" t="s">
        <v>132</v>
      </c>
      <c r="P227" s="121" t="s">
        <v>139</v>
      </c>
      <c r="R227" s="118"/>
      <c r="S227" s="118"/>
      <c r="T227" s="118"/>
      <c r="U227" s="118"/>
      <c r="V227" s="118"/>
      <c r="W227" s="118"/>
      <c r="X227" s="118"/>
    </row>
    <row r="228" spans="1:24">
      <c r="A228" s="428"/>
      <c r="B228" s="431"/>
      <c r="C228" s="425"/>
      <c r="D228" s="476"/>
      <c r="E228" s="479"/>
      <c r="F228" s="479"/>
      <c r="G228" s="479"/>
      <c r="H228" s="479"/>
      <c r="I228" s="479"/>
      <c r="J228" s="479"/>
      <c r="K228" s="479"/>
      <c r="L228" s="150">
        <v>202</v>
      </c>
      <c r="M228" s="125" t="s">
        <v>28</v>
      </c>
      <c r="N228" s="128"/>
      <c r="O228" s="126"/>
      <c r="P228" s="137"/>
      <c r="R228" s="118"/>
      <c r="S228" s="118"/>
      <c r="T228" s="118"/>
      <c r="U228" s="118"/>
      <c r="V228" s="118"/>
      <c r="W228" s="118"/>
      <c r="X228" s="118"/>
    </row>
    <row r="229" spans="1:24">
      <c r="A229" s="428"/>
      <c r="B229" s="431"/>
      <c r="C229" s="425"/>
      <c r="D229" s="476"/>
      <c r="E229" s="479"/>
      <c r="F229" s="479"/>
      <c r="G229" s="479"/>
      <c r="H229" s="479"/>
      <c r="I229" s="479"/>
      <c r="J229" s="479"/>
      <c r="K229" s="479"/>
      <c r="L229" s="150">
        <v>203</v>
      </c>
      <c r="M229" s="130" t="s">
        <v>28</v>
      </c>
      <c r="N229" s="128"/>
      <c r="O229" s="126"/>
      <c r="P229" s="137"/>
      <c r="R229" s="118"/>
      <c r="S229" s="118"/>
      <c r="T229" s="118"/>
      <c r="U229" s="118"/>
      <c r="V229" s="118"/>
      <c r="W229" s="118"/>
      <c r="X229" s="118"/>
    </row>
    <row r="230" spans="1:24">
      <c r="A230" s="428"/>
      <c r="B230" s="431"/>
      <c r="C230" s="425"/>
      <c r="D230" s="476"/>
      <c r="E230" s="479"/>
      <c r="F230" s="479"/>
      <c r="G230" s="479"/>
      <c r="H230" s="479"/>
      <c r="I230" s="479"/>
      <c r="J230" s="479"/>
      <c r="K230" s="479"/>
      <c r="L230" s="150">
        <v>204</v>
      </c>
      <c r="M230" s="125" t="s">
        <v>28</v>
      </c>
      <c r="N230" s="128"/>
      <c r="O230" s="126"/>
      <c r="P230" s="137"/>
      <c r="R230" s="118"/>
      <c r="S230" s="118"/>
      <c r="T230" s="118"/>
      <c r="U230" s="118"/>
      <c r="V230" s="118"/>
      <c r="W230" s="118"/>
      <c r="X230" s="118"/>
    </row>
    <row r="231" spans="1:24">
      <c r="A231" s="428"/>
      <c r="B231" s="431"/>
      <c r="C231" s="425"/>
      <c r="D231" s="476"/>
      <c r="E231" s="479"/>
      <c r="F231" s="479"/>
      <c r="G231" s="479"/>
      <c r="H231" s="479"/>
      <c r="I231" s="479"/>
      <c r="J231" s="479"/>
      <c r="K231" s="479"/>
      <c r="L231" s="150">
        <v>205</v>
      </c>
      <c r="M231" s="130" t="s">
        <v>28</v>
      </c>
      <c r="N231" s="128"/>
      <c r="O231" s="126"/>
      <c r="P231" s="137"/>
      <c r="R231" s="118"/>
      <c r="S231" s="118"/>
      <c r="T231" s="118"/>
      <c r="U231" s="118"/>
      <c r="V231" s="118"/>
      <c r="W231" s="118"/>
      <c r="X231" s="118"/>
    </row>
    <row r="232" spans="1:24">
      <c r="A232" s="428"/>
      <c r="B232" s="431"/>
      <c r="C232" s="425"/>
      <c r="D232" s="476"/>
      <c r="E232" s="479"/>
      <c r="F232" s="479"/>
      <c r="G232" s="479"/>
      <c r="H232" s="479"/>
      <c r="I232" s="479"/>
      <c r="J232" s="479"/>
      <c r="K232" s="479"/>
      <c r="L232" s="150">
        <v>206</v>
      </c>
      <c r="M232" s="125" t="s">
        <v>28</v>
      </c>
      <c r="N232" s="128"/>
      <c r="O232" s="126"/>
      <c r="P232" s="137"/>
      <c r="R232" s="118"/>
      <c r="S232" s="118"/>
      <c r="T232" s="118"/>
      <c r="U232" s="118"/>
      <c r="V232" s="118"/>
      <c r="W232" s="118"/>
      <c r="X232" s="118"/>
    </row>
    <row r="233" spans="1:24">
      <c r="A233" s="428"/>
      <c r="B233" s="431"/>
      <c r="C233" s="425"/>
      <c r="D233" s="476"/>
      <c r="E233" s="479"/>
      <c r="F233" s="479"/>
      <c r="G233" s="479"/>
      <c r="H233" s="479"/>
      <c r="I233" s="479"/>
      <c r="J233" s="479"/>
      <c r="K233" s="479"/>
      <c r="L233" s="150">
        <v>207</v>
      </c>
      <c r="M233" s="130" t="s">
        <v>28</v>
      </c>
      <c r="N233" s="128"/>
      <c r="O233" s="126"/>
      <c r="P233" s="137"/>
      <c r="R233" s="118"/>
      <c r="S233" s="118"/>
      <c r="T233" s="118"/>
      <c r="U233" s="118"/>
      <c r="V233" s="118"/>
      <c r="W233" s="118"/>
      <c r="X233" s="118"/>
    </row>
    <row r="234" spans="1:24" ht="15.75" thickBot="1">
      <c r="A234" s="428"/>
      <c r="B234" s="431"/>
      <c r="C234" s="426"/>
      <c r="D234" s="477"/>
      <c r="E234" s="480"/>
      <c r="F234" s="480"/>
      <c r="G234" s="480"/>
      <c r="H234" s="480"/>
      <c r="I234" s="480"/>
      <c r="J234" s="480"/>
      <c r="K234" s="480"/>
      <c r="L234" s="151">
        <v>208</v>
      </c>
      <c r="M234" s="138" t="s">
        <v>28</v>
      </c>
      <c r="N234" s="148"/>
      <c r="O234" s="139"/>
      <c r="P234" s="140"/>
      <c r="R234" s="118"/>
      <c r="S234" s="118"/>
      <c r="T234" s="118"/>
      <c r="U234" s="118"/>
      <c r="V234" s="118"/>
      <c r="W234" s="118"/>
      <c r="X234" s="118"/>
    </row>
    <row r="235" spans="1:24" ht="24">
      <c r="A235" s="428"/>
      <c r="B235" s="431"/>
      <c r="C235" s="424" t="str">
        <f>'Step 1 - System Definition'!O17</f>
        <v>Battery Meter(s)</v>
      </c>
      <c r="D235" s="475" t="str">
        <f>'Step 5 - Mitigation Analysis'!F19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235" s="478" t="str">
        <f>'Step 5 - Mitigation Analysis'!I19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235" s="478" t="str">
        <f>'Step 5 - Mitigation Analysis'!L19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235" s="478" t="str">
        <f>'Step 5 - Mitigation Analysis'!O19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235" s="478" t="str">
        <f>'Step 5 - Mitigation Analysis'!R19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235" s="478" t="str">
        <f>'Step 5 - Mitigation Analysis'!U19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235" s="478" t="str">
        <f>'Step 5 - Mitigation Analysis'!X19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235" s="478" t="str">
        <f>'Step 5 - Mitigation Analysis'!AA19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235" s="149">
        <v>209</v>
      </c>
      <c r="M235" s="134" t="s">
        <v>28</v>
      </c>
      <c r="N235" s="134" t="s">
        <v>283</v>
      </c>
      <c r="O235" s="135" t="s">
        <v>132</v>
      </c>
      <c r="P235" s="120" t="s">
        <v>133</v>
      </c>
      <c r="R235" s="118"/>
      <c r="S235" s="118"/>
      <c r="T235" s="118"/>
      <c r="U235" s="118"/>
      <c r="V235" s="118"/>
      <c r="W235" s="118"/>
      <c r="X235" s="118"/>
    </row>
    <row r="236" spans="1:24" ht="24">
      <c r="A236" s="428"/>
      <c r="B236" s="431"/>
      <c r="C236" s="425"/>
      <c r="D236" s="476"/>
      <c r="E236" s="479"/>
      <c r="F236" s="479"/>
      <c r="G236" s="479"/>
      <c r="H236" s="479"/>
      <c r="I236" s="479"/>
      <c r="J236" s="479"/>
      <c r="K236" s="479"/>
      <c r="L236" s="150">
        <v>210</v>
      </c>
      <c r="M236" s="125" t="s">
        <v>28</v>
      </c>
      <c r="N236" s="125" t="s">
        <v>283</v>
      </c>
      <c r="O236" s="126" t="s">
        <v>132</v>
      </c>
      <c r="P236" s="121" t="s">
        <v>134</v>
      </c>
      <c r="R236" s="118"/>
      <c r="S236" s="118"/>
      <c r="T236" s="118"/>
      <c r="U236" s="118"/>
      <c r="V236" s="118"/>
      <c r="W236" s="118"/>
      <c r="X236" s="118"/>
    </row>
    <row r="237" spans="1:24" ht="24">
      <c r="A237" s="428"/>
      <c r="B237" s="431"/>
      <c r="C237" s="425"/>
      <c r="D237" s="476"/>
      <c r="E237" s="479"/>
      <c r="F237" s="479"/>
      <c r="G237" s="479"/>
      <c r="H237" s="479"/>
      <c r="I237" s="479"/>
      <c r="J237" s="479"/>
      <c r="K237" s="479"/>
      <c r="L237" s="150">
        <v>211</v>
      </c>
      <c r="M237" s="130" t="s">
        <v>28</v>
      </c>
      <c r="N237" s="125" t="s">
        <v>283</v>
      </c>
      <c r="O237" s="126" t="s">
        <v>132</v>
      </c>
      <c r="P237" s="121" t="s">
        <v>135</v>
      </c>
      <c r="R237" s="118"/>
      <c r="S237" s="118"/>
      <c r="T237" s="118"/>
      <c r="U237" s="118"/>
      <c r="V237" s="118"/>
      <c r="W237" s="118"/>
      <c r="X237" s="118"/>
    </row>
    <row r="238" spans="1:24" ht="24">
      <c r="A238" s="428"/>
      <c r="B238" s="431"/>
      <c r="C238" s="425"/>
      <c r="D238" s="476"/>
      <c r="E238" s="479"/>
      <c r="F238" s="479"/>
      <c r="G238" s="479"/>
      <c r="H238" s="479"/>
      <c r="I238" s="479"/>
      <c r="J238" s="479"/>
      <c r="K238" s="479"/>
      <c r="L238" s="150">
        <v>212</v>
      </c>
      <c r="M238" s="125" t="s">
        <v>28</v>
      </c>
      <c r="N238" s="125" t="s">
        <v>283</v>
      </c>
      <c r="O238" s="164" t="s">
        <v>132</v>
      </c>
      <c r="P238" s="121" t="s">
        <v>136</v>
      </c>
      <c r="R238" s="118"/>
      <c r="S238" s="118"/>
      <c r="T238" s="118"/>
      <c r="U238" s="118"/>
      <c r="V238" s="118"/>
      <c r="W238" s="118"/>
      <c r="X238" s="118"/>
    </row>
    <row r="239" spans="1:24" ht="24">
      <c r="A239" s="428"/>
      <c r="B239" s="431"/>
      <c r="C239" s="425"/>
      <c r="D239" s="476"/>
      <c r="E239" s="479"/>
      <c r="F239" s="479"/>
      <c r="G239" s="479"/>
      <c r="H239" s="479"/>
      <c r="I239" s="479"/>
      <c r="J239" s="479"/>
      <c r="K239" s="479"/>
      <c r="L239" s="150">
        <v>213</v>
      </c>
      <c r="M239" s="130" t="s">
        <v>28</v>
      </c>
      <c r="N239" s="125" t="s">
        <v>283</v>
      </c>
      <c r="O239" s="164" t="s">
        <v>132</v>
      </c>
      <c r="P239" s="121" t="s">
        <v>138</v>
      </c>
      <c r="R239" s="118"/>
      <c r="S239" s="118"/>
      <c r="T239" s="118"/>
      <c r="U239" s="118"/>
      <c r="V239" s="118"/>
      <c r="W239" s="118"/>
      <c r="X239" s="118"/>
    </row>
    <row r="240" spans="1:24" ht="24">
      <c r="A240" s="428"/>
      <c r="B240" s="431"/>
      <c r="C240" s="425"/>
      <c r="D240" s="476"/>
      <c r="E240" s="479"/>
      <c r="F240" s="479"/>
      <c r="G240" s="479"/>
      <c r="H240" s="479"/>
      <c r="I240" s="479"/>
      <c r="J240" s="479"/>
      <c r="K240" s="479"/>
      <c r="L240" s="150">
        <v>214</v>
      </c>
      <c r="M240" s="125" t="s">
        <v>28</v>
      </c>
      <c r="N240" s="125" t="s">
        <v>283</v>
      </c>
      <c r="O240" s="164" t="s">
        <v>132</v>
      </c>
      <c r="P240" s="121" t="s">
        <v>139</v>
      </c>
      <c r="R240" s="118"/>
      <c r="S240" s="118"/>
      <c r="T240" s="118"/>
      <c r="U240" s="118"/>
      <c r="V240" s="118"/>
      <c r="W240" s="118"/>
      <c r="X240" s="118"/>
    </row>
    <row r="241" spans="1:24">
      <c r="A241" s="428"/>
      <c r="B241" s="431"/>
      <c r="C241" s="425"/>
      <c r="D241" s="476"/>
      <c r="E241" s="479"/>
      <c r="F241" s="479"/>
      <c r="G241" s="479"/>
      <c r="H241" s="479"/>
      <c r="I241" s="479"/>
      <c r="J241" s="479"/>
      <c r="K241" s="479"/>
      <c r="L241" s="150">
        <v>215</v>
      </c>
      <c r="M241" s="130" t="s">
        <v>28</v>
      </c>
      <c r="N241" s="125" t="s">
        <v>283</v>
      </c>
      <c r="O241" s="164" t="s">
        <v>158</v>
      </c>
      <c r="P241" s="121" t="s">
        <v>356</v>
      </c>
      <c r="R241" s="118"/>
      <c r="S241" s="118"/>
      <c r="T241" s="118"/>
      <c r="U241" s="118"/>
      <c r="V241" s="118"/>
      <c r="W241" s="118"/>
      <c r="X241" s="118"/>
    </row>
    <row r="242" spans="1:24">
      <c r="A242" s="428"/>
      <c r="B242" s="431"/>
      <c r="C242" s="425"/>
      <c r="D242" s="476"/>
      <c r="E242" s="479"/>
      <c r="F242" s="479"/>
      <c r="G242" s="479"/>
      <c r="H242" s="479"/>
      <c r="I242" s="479"/>
      <c r="J242" s="479"/>
      <c r="K242" s="479"/>
      <c r="L242" s="150">
        <v>216</v>
      </c>
      <c r="M242" s="125" t="s">
        <v>28</v>
      </c>
      <c r="N242" s="128"/>
      <c r="O242" s="164"/>
      <c r="P242" s="137"/>
      <c r="R242" s="118"/>
      <c r="S242" s="118"/>
      <c r="T242" s="118"/>
      <c r="U242" s="118"/>
      <c r="V242" s="118"/>
      <c r="W242" s="118"/>
      <c r="X242" s="118"/>
    </row>
    <row r="243" spans="1:24">
      <c r="A243" s="428"/>
      <c r="B243" s="431"/>
      <c r="C243" s="425"/>
      <c r="D243" s="476"/>
      <c r="E243" s="479"/>
      <c r="F243" s="479"/>
      <c r="G243" s="479"/>
      <c r="H243" s="479"/>
      <c r="I243" s="479"/>
      <c r="J243" s="479"/>
      <c r="K243" s="479"/>
      <c r="L243" s="150">
        <v>217</v>
      </c>
      <c r="M243" s="130" t="s">
        <v>28</v>
      </c>
      <c r="N243" s="128"/>
      <c r="O243" s="126"/>
      <c r="P243" s="137"/>
      <c r="R243" s="118"/>
      <c r="S243" s="118"/>
      <c r="T243" s="118"/>
      <c r="U243" s="118"/>
      <c r="V243" s="118"/>
      <c r="W243" s="118"/>
      <c r="X243" s="118"/>
    </row>
    <row r="244" spans="1:24" ht="15.75" thickBot="1">
      <c r="A244" s="428"/>
      <c r="B244" s="431"/>
      <c r="C244" s="426"/>
      <c r="D244" s="477"/>
      <c r="E244" s="480"/>
      <c r="F244" s="480"/>
      <c r="G244" s="480"/>
      <c r="H244" s="480"/>
      <c r="I244" s="480"/>
      <c r="J244" s="480"/>
      <c r="K244" s="480"/>
      <c r="L244" s="151">
        <v>218</v>
      </c>
      <c r="M244" s="138" t="s">
        <v>28</v>
      </c>
      <c r="N244" s="148"/>
      <c r="O244" s="139"/>
      <c r="P244" s="140"/>
      <c r="R244" s="118"/>
      <c r="S244" s="118"/>
      <c r="T244" s="118"/>
      <c r="U244" s="118"/>
      <c r="V244" s="118"/>
      <c r="W244" s="118"/>
      <c r="X244" s="118"/>
    </row>
    <row r="245" spans="1:24" ht="24">
      <c r="A245" s="428"/>
      <c r="B245" s="431"/>
      <c r="C245" s="424" t="str">
        <f>'Step 1 - System Definition'!O18</f>
        <v>Site/Load Meter(s)</v>
      </c>
      <c r="D245" s="475" t="str">
        <f>'Step 5 - Mitigation Analysis'!F20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245" s="478" t="str">
        <f>'Step 5 - Mitigation Analysis'!I20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245" s="478" t="str">
        <f>'Step 5 - Mitigation Analysis'!L20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245" s="478" t="str">
        <f>'Step 5 - Mitigation Analysis'!O20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245" s="478" t="str">
        <f>'Step 5 - Mitigation Analysis'!R20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245" s="478" t="str">
        <f>'Step 5 - Mitigation Analysis'!U20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245" s="478" t="str">
        <f>'Step 5 - Mitigation Analysis'!X20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245" s="478" t="str">
        <f>'Step 5 - Mitigation Analysis'!AA20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245" s="149">
        <v>219</v>
      </c>
      <c r="M245" s="134" t="s">
        <v>28</v>
      </c>
      <c r="N245" s="134" t="s">
        <v>283</v>
      </c>
      <c r="O245" s="135" t="s">
        <v>132</v>
      </c>
      <c r="P245" s="120" t="s">
        <v>133</v>
      </c>
      <c r="R245" s="118"/>
      <c r="S245" s="118"/>
      <c r="T245" s="118"/>
      <c r="U245" s="118"/>
      <c r="V245" s="118"/>
      <c r="W245" s="118"/>
      <c r="X245" s="118"/>
    </row>
    <row r="246" spans="1:24" ht="24">
      <c r="A246" s="428"/>
      <c r="B246" s="431"/>
      <c r="C246" s="425"/>
      <c r="D246" s="476"/>
      <c r="E246" s="479"/>
      <c r="F246" s="479"/>
      <c r="G246" s="479"/>
      <c r="H246" s="479"/>
      <c r="I246" s="479"/>
      <c r="J246" s="479"/>
      <c r="K246" s="479"/>
      <c r="L246" s="150">
        <v>220</v>
      </c>
      <c r="M246" s="125" t="s">
        <v>28</v>
      </c>
      <c r="N246" s="125" t="s">
        <v>283</v>
      </c>
      <c r="O246" s="126" t="s">
        <v>132</v>
      </c>
      <c r="P246" s="121" t="s">
        <v>134</v>
      </c>
      <c r="R246" s="118"/>
      <c r="S246" s="118"/>
      <c r="T246" s="118"/>
      <c r="U246" s="118"/>
      <c r="V246" s="118"/>
      <c r="W246" s="118"/>
      <c r="X246" s="118"/>
    </row>
    <row r="247" spans="1:24" ht="24">
      <c r="A247" s="428"/>
      <c r="B247" s="431"/>
      <c r="C247" s="425"/>
      <c r="D247" s="476"/>
      <c r="E247" s="479"/>
      <c r="F247" s="479"/>
      <c r="G247" s="479"/>
      <c r="H247" s="479"/>
      <c r="I247" s="479"/>
      <c r="J247" s="479"/>
      <c r="K247" s="479"/>
      <c r="L247" s="150">
        <v>221</v>
      </c>
      <c r="M247" s="130" t="s">
        <v>28</v>
      </c>
      <c r="N247" s="125" t="s">
        <v>283</v>
      </c>
      <c r="O247" s="126" t="s">
        <v>132</v>
      </c>
      <c r="P247" s="121" t="s">
        <v>135</v>
      </c>
      <c r="R247" s="118"/>
      <c r="S247" s="118"/>
      <c r="T247" s="118"/>
      <c r="U247" s="118"/>
      <c r="V247" s="118"/>
      <c r="W247" s="118"/>
      <c r="X247" s="118"/>
    </row>
    <row r="248" spans="1:24" ht="24">
      <c r="A248" s="428"/>
      <c r="B248" s="431"/>
      <c r="C248" s="425"/>
      <c r="D248" s="476"/>
      <c r="E248" s="479"/>
      <c r="F248" s="479"/>
      <c r="G248" s="479"/>
      <c r="H248" s="479"/>
      <c r="I248" s="479"/>
      <c r="J248" s="479"/>
      <c r="K248" s="479"/>
      <c r="L248" s="150">
        <v>222</v>
      </c>
      <c r="M248" s="125" t="s">
        <v>28</v>
      </c>
      <c r="N248" s="125" t="s">
        <v>283</v>
      </c>
      <c r="O248" s="126" t="s">
        <v>132</v>
      </c>
      <c r="P248" s="121" t="s">
        <v>136</v>
      </c>
      <c r="R248" s="118"/>
      <c r="S248" s="118"/>
      <c r="T248" s="118"/>
      <c r="U248" s="118"/>
      <c r="V248" s="118"/>
      <c r="W248" s="118"/>
      <c r="X248" s="118"/>
    </row>
    <row r="249" spans="1:24" ht="24">
      <c r="A249" s="428"/>
      <c r="B249" s="431"/>
      <c r="C249" s="425"/>
      <c r="D249" s="476"/>
      <c r="E249" s="479"/>
      <c r="F249" s="479"/>
      <c r="G249" s="479"/>
      <c r="H249" s="479"/>
      <c r="I249" s="479"/>
      <c r="J249" s="479"/>
      <c r="K249" s="479"/>
      <c r="L249" s="150">
        <v>223</v>
      </c>
      <c r="M249" s="130" t="s">
        <v>28</v>
      </c>
      <c r="N249" s="125" t="s">
        <v>283</v>
      </c>
      <c r="O249" s="126" t="s">
        <v>132</v>
      </c>
      <c r="P249" s="121" t="s">
        <v>138</v>
      </c>
      <c r="R249" s="118"/>
      <c r="S249" s="118"/>
      <c r="T249" s="118"/>
      <c r="U249" s="118"/>
      <c r="V249" s="118"/>
      <c r="W249" s="118"/>
      <c r="X249" s="118"/>
    </row>
    <row r="250" spans="1:24" ht="24">
      <c r="A250" s="428"/>
      <c r="B250" s="431"/>
      <c r="C250" s="425"/>
      <c r="D250" s="476"/>
      <c r="E250" s="479"/>
      <c r="F250" s="479"/>
      <c r="G250" s="479"/>
      <c r="H250" s="479"/>
      <c r="I250" s="479"/>
      <c r="J250" s="479"/>
      <c r="K250" s="479"/>
      <c r="L250" s="150">
        <v>224</v>
      </c>
      <c r="M250" s="125" t="s">
        <v>28</v>
      </c>
      <c r="N250" s="125" t="s">
        <v>283</v>
      </c>
      <c r="O250" s="126" t="s">
        <v>132</v>
      </c>
      <c r="P250" s="121" t="s">
        <v>139</v>
      </c>
      <c r="R250" s="118"/>
      <c r="S250" s="118"/>
      <c r="T250" s="118"/>
      <c r="U250" s="118"/>
      <c r="V250" s="118"/>
      <c r="W250" s="118"/>
      <c r="X250" s="118"/>
    </row>
    <row r="251" spans="1:24">
      <c r="A251" s="428"/>
      <c r="B251" s="431"/>
      <c r="C251" s="425"/>
      <c r="D251" s="476"/>
      <c r="E251" s="479"/>
      <c r="F251" s="479"/>
      <c r="G251" s="479"/>
      <c r="H251" s="479"/>
      <c r="I251" s="479"/>
      <c r="J251" s="479"/>
      <c r="K251" s="479"/>
      <c r="L251" s="150">
        <v>225</v>
      </c>
      <c r="M251" s="130" t="s">
        <v>28</v>
      </c>
      <c r="N251" s="125" t="s">
        <v>283</v>
      </c>
      <c r="O251" s="126" t="s">
        <v>158</v>
      </c>
      <c r="P251" s="121" t="s">
        <v>356</v>
      </c>
      <c r="R251" s="118"/>
      <c r="S251" s="118"/>
      <c r="T251" s="118"/>
      <c r="U251" s="118"/>
      <c r="V251" s="118"/>
      <c r="W251" s="118"/>
      <c r="X251" s="118"/>
    </row>
    <row r="252" spans="1:24">
      <c r="A252" s="428"/>
      <c r="B252" s="431"/>
      <c r="C252" s="425"/>
      <c r="D252" s="476"/>
      <c r="E252" s="479"/>
      <c r="F252" s="479"/>
      <c r="G252" s="479"/>
      <c r="H252" s="479"/>
      <c r="I252" s="479"/>
      <c r="J252" s="479"/>
      <c r="K252" s="479"/>
      <c r="L252" s="150">
        <v>226</v>
      </c>
      <c r="M252" s="125" t="s">
        <v>28</v>
      </c>
      <c r="N252" s="128"/>
      <c r="O252" s="126"/>
      <c r="P252" s="137"/>
      <c r="R252" s="118"/>
      <c r="S252" s="118"/>
      <c r="T252" s="118"/>
      <c r="U252" s="118"/>
      <c r="V252" s="118"/>
      <c r="W252" s="118"/>
      <c r="X252" s="118"/>
    </row>
    <row r="253" spans="1:24" ht="15.75" thickBot="1">
      <c r="A253" s="428"/>
      <c r="B253" s="431"/>
      <c r="C253" s="426"/>
      <c r="D253" s="477"/>
      <c r="E253" s="480"/>
      <c r="F253" s="480"/>
      <c r="G253" s="480"/>
      <c r="H253" s="480"/>
      <c r="I253" s="480"/>
      <c r="J253" s="480"/>
      <c r="K253" s="480"/>
      <c r="L253" s="151">
        <v>227</v>
      </c>
      <c r="M253" s="290" t="s">
        <v>28</v>
      </c>
      <c r="N253" s="148"/>
      <c r="O253" s="139"/>
      <c r="P253" s="140"/>
      <c r="R253" s="118"/>
      <c r="S253" s="118"/>
      <c r="T253" s="118"/>
      <c r="U253" s="118"/>
      <c r="V253" s="118"/>
      <c r="W253" s="118"/>
      <c r="X253" s="118"/>
    </row>
    <row r="254" spans="1:24">
      <c r="A254" s="428"/>
      <c r="B254" s="431" t="s">
        <v>17</v>
      </c>
      <c r="C254" s="424" t="str">
        <f>'Step 1 - System Definition'!O19</f>
        <v>BESS Network Switch(s)</v>
      </c>
      <c r="D254" s="475" t="str">
        <f>'Step 5 - Mitigation Analysis'!F21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254" s="478" t="str">
        <f>'Step 5 - Mitigation Analysis'!I21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254" s="478" t="str">
        <f>'Step 5 - Mitigation Analysis'!L21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254" s="478" t="str">
        <f>'Step 5 - Mitigation Analysis'!O21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254" s="478" t="str">
        <f>'Step 5 - Mitigation Analysis'!R21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254" s="478" t="str">
        <f>'Step 5 - Mitigation Analysis'!U21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254" s="478" t="str">
        <f>'Step 5 - Mitigation Analysis'!X21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254" s="478" t="str">
        <f>'Step 5 - Mitigation Analysis'!AA21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254" s="149">
        <v>228</v>
      </c>
      <c r="M254" s="134" t="s">
        <v>28</v>
      </c>
      <c r="N254" s="147"/>
      <c r="O254" s="135"/>
      <c r="P254" s="136"/>
      <c r="R254" s="118"/>
      <c r="S254" s="118"/>
      <c r="T254" s="118"/>
      <c r="U254" s="118"/>
      <c r="V254" s="118"/>
      <c r="W254" s="118"/>
      <c r="X254" s="118"/>
    </row>
    <row r="255" spans="1:24">
      <c r="A255" s="428"/>
      <c r="B255" s="431"/>
      <c r="C255" s="425"/>
      <c r="D255" s="476"/>
      <c r="E255" s="479"/>
      <c r="F255" s="479"/>
      <c r="G255" s="479"/>
      <c r="H255" s="479"/>
      <c r="I255" s="479"/>
      <c r="J255" s="479"/>
      <c r="K255" s="479"/>
      <c r="L255" s="150">
        <v>229</v>
      </c>
      <c r="M255" s="130" t="s">
        <v>28</v>
      </c>
      <c r="N255" s="128"/>
      <c r="O255" s="126"/>
      <c r="P255" s="137"/>
      <c r="R255" s="118"/>
      <c r="S255" s="118"/>
      <c r="T255" s="118"/>
      <c r="U255" s="118"/>
      <c r="V255" s="118"/>
      <c r="W255" s="118"/>
      <c r="X255" s="118"/>
    </row>
    <row r="256" spans="1:24">
      <c r="A256" s="428"/>
      <c r="B256" s="431"/>
      <c r="C256" s="425"/>
      <c r="D256" s="476"/>
      <c r="E256" s="479"/>
      <c r="F256" s="479"/>
      <c r="G256" s="479"/>
      <c r="H256" s="479"/>
      <c r="I256" s="479"/>
      <c r="J256" s="479"/>
      <c r="K256" s="479"/>
      <c r="L256" s="150">
        <v>230</v>
      </c>
      <c r="M256" s="125" t="s">
        <v>28</v>
      </c>
      <c r="N256" s="128"/>
      <c r="O256" s="126"/>
      <c r="P256" s="137"/>
      <c r="R256" s="118"/>
      <c r="S256" s="118"/>
      <c r="T256" s="118"/>
      <c r="U256" s="118"/>
      <c r="V256" s="118"/>
      <c r="W256" s="118"/>
      <c r="X256" s="118"/>
    </row>
    <row r="257" spans="1:24">
      <c r="A257" s="428"/>
      <c r="B257" s="431"/>
      <c r="C257" s="425"/>
      <c r="D257" s="476"/>
      <c r="E257" s="479"/>
      <c r="F257" s="479"/>
      <c r="G257" s="479"/>
      <c r="H257" s="479"/>
      <c r="I257" s="479"/>
      <c r="J257" s="479"/>
      <c r="K257" s="479"/>
      <c r="L257" s="150">
        <v>231</v>
      </c>
      <c r="M257" s="130" t="s">
        <v>28</v>
      </c>
      <c r="N257" s="128"/>
      <c r="O257" s="126"/>
      <c r="P257" s="137"/>
      <c r="R257" s="118"/>
      <c r="S257" s="118"/>
      <c r="T257" s="118"/>
      <c r="U257" s="118"/>
      <c r="V257" s="118"/>
      <c r="W257" s="118"/>
      <c r="X257" s="118"/>
    </row>
    <row r="258" spans="1:24">
      <c r="A258" s="428"/>
      <c r="B258" s="431"/>
      <c r="C258" s="425"/>
      <c r="D258" s="476"/>
      <c r="E258" s="479"/>
      <c r="F258" s="479"/>
      <c r="G258" s="479"/>
      <c r="H258" s="479"/>
      <c r="I258" s="479"/>
      <c r="J258" s="479"/>
      <c r="K258" s="479"/>
      <c r="L258" s="150">
        <v>232</v>
      </c>
      <c r="M258" s="125" t="s">
        <v>28</v>
      </c>
      <c r="N258" s="128"/>
      <c r="O258" s="126"/>
      <c r="P258" s="137"/>
      <c r="R258" s="118"/>
      <c r="S258" s="118"/>
      <c r="T258" s="118"/>
      <c r="U258" s="118"/>
      <c r="V258" s="118"/>
      <c r="W258" s="118"/>
      <c r="X258" s="118"/>
    </row>
    <row r="259" spans="1:24">
      <c r="A259" s="428"/>
      <c r="B259" s="431"/>
      <c r="C259" s="425"/>
      <c r="D259" s="476"/>
      <c r="E259" s="479"/>
      <c r="F259" s="479"/>
      <c r="G259" s="479"/>
      <c r="H259" s="479"/>
      <c r="I259" s="479"/>
      <c r="J259" s="479"/>
      <c r="K259" s="479"/>
      <c r="L259" s="150">
        <v>233</v>
      </c>
      <c r="M259" s="130" t="s">
        <v>28</v>
      </c>
      <c r="N259" s="128"/>
      <c r="O259" s="126"/>
      <c r="P259" s="137"/>
      <c r="R259" s="118"/>
      <c r="S259" s="118"/>
      <c r="T259" s="118"/>
      <c r="U259" s="118"/>
      <c r="V259" s="118"/>
      <c r="W259" s="118"/>
      <c r="X259" s="118"/>
    </row>
    <row r="260" spans="1:24">
      <c r="A260" s="428"/>
      <c r="B260" s="431"/>
      <c r="C260" s="425"/>
      <c r="D260" s="476"/>
      <c r="E260" s="479"/>
      <c r="F260" s="479"/>
      <c r="G260" s="479"/>
      <c r="H260" s="479"/>
      <c r="I260" s="479"/>
      <c r="J260" s="479"/>
      <c r="K260" s="479"/>
      <c r="L260" s="150">
        <v>234</v>
      </c>
      <c r="M260" s="125" t="s">
        <v>28</v>
      </c>
      <c r="N260" s="128"/>
      <c r="O260" s="126"/>
      <c r="P260" s="137"/>
      <c r="R260" s="118"/>
      <c r="S260" s="118"/>
      <c r="T260" s="118"/>
      <c r="U260" s="118"/>
      <c r="V260" s="118"/>
      <c r="W260" s="118"/>
      <c r="X260" s="118"/>
    </row>
    <row r="261" spans="1:24">
      <c r="A261" s="428"/>
      <c r="B261" s="431"/>
      <c r="C261" s="425"/>
      <c r="D261" s="476"/>
      <c r="E261" s="479"/>
      <c r="F261" s="479"/>
      <c r="G261" s="479"/>
      <c r="H261" s="479"/>
      <c r="I261" s="479"/>
      <c r="J261" s="479"/>
      <c r="K261" s="479"/>
      <c r="L261" s="150">
        <v>235</v>
      </c>
      <c r="M261" s="130" t="s">
        <v>28</v>
      </c>
      <c r="N261" s="128"/>
      <c r="O261" s="126"/>
      <c r="P261" s="137" t="s">
        <v>366</v>
      </c>
      <c r="R261" s="118"/>
      <c r="S261" s="118"/>
      <c r="T261" s="118"/>
      <c r="U261" s="118"/>
      <c r="V261" s="118"/>
      <c r="W261" s="118"/>
      <c r="X261" s="118"/>
    </row>
    <row r="262" spans="1:24">
      <c r="A262" s="428"/>
      <c r="B262" s="431"/>
      <c r="C262" s="425"/>
      <c r="D262" s="476"/>
      <c r="E262" s="479"/>
      <c r="F262" s="479"/>
      <c r="G262" s="479"/>
      <c r="H262" s="479"/>
      <c r="I262" s="479"/>
      <c r="J262" s="479"/>
      <c r="K262" s="479"/>
      <c r="L262" s="150">
        <v>236</v>
      </c>
      <c r="M262" s="125" t="s">
        <v>28</v>
      </c>
      <c r="N262" s="128"/>
      <c r="O262" s="126"/>
      <c r="P262" s="137"/>
      <c r="R262" s="118"/>
      <c r="S262" s="118"/>
      <c r="T262" s="118"/>
      <c r="U262" s="118"/>
      <c r="V262" s="118"/>
      <c r="W262" s="118"/>
      <c r="X262" s="118"/>
    </row>
    <row r="263" spans="1:24">
      <c r="A263" s="428"/>
      <c r="B263" s="431"/>
      <c r="C263" s="425"/>
      <c r="D263" s="476"/>
      <c r="E263" s="479"/>
      <c r="F263" s="479"/>
      <c r="G263" s="479"/>
      <c r="H263" s="479"/>
      <c r="I263" s="479"/>
      <c r="J263" s="479"/>
      <c r="K263" s="479"/>
      <c r="L263" s="150">
        <v>237</v>
      </c>
      <c r="M263" s="130" t="s">
        <v>28</v>
      </c>
      <c r="N263" s="128"/>
      <c r="O263" s="126"/>
      <c r="P263" s="137"/>
      <c r="R263" s="118"/>
      <c r="S263" s="118"/>
      <c r="T263" s="118"/>
      <c r="U263" s="118"/>
      <c r="V263" s="118"/>
      <c r="W263" s="118"/>
      <c r="X263" s="118"/>
    </row>
    <row r="264" spans="1:24">
      <c r="A264" s="428"/>
      <c r="B264" s="431"/>
      <c r="C264" s="425"/>
      <c r="D264" s="476"/>
      <c r="E264" s="479"/>
      <c r="F264" s="479"/>
      <c r="G264" s="479"/>
      <c r="H264" s="479"/>
      <c r="I264" s="479"/>
      <c r="J264" s="479"/>
      <c r="K264" s="479"/>
      <c r="L264" s="150">
        <v>238</v>
      </c>
      <c r="M264" s="125" t="s">
        <v>28</v>
      </c>
      <c r="N264" s="128"/>
      <c r="O264" s="126"/>
      <c r="P264" s="137"/>
      <c r="R264" s="118"/>
      <c r="S264" s="118"/>
      <c r="T264" s="118"/>
      <c r="U264" s="118"/>
      <c r="V264" s="118"/>
      <c r="W264" s="118"/>
      <c r="X264" s="118"/>
    </row>
    <row r="265" spans="1:24" ht="24">
      <c r="A265" s="428"/>
      <c r="B265" s="431"/>
      <c r="C265" s="425"/>
      <c r="D265" s="476"/>
      <c r="E265" s="479"/>
      <c r="F265" s="479"/>
      <c r="G265" s="479"/>
      <c r="H265" s="479"/>
      <c r="I265" s="479"/>
      <c r="J265" s="479"/>
      <c r="K265" s="479"/>
      <c r="L265" s="150">
        <v>239</v>
      </c>
      <c r="M265" s="130" t="s">
        <v>28</v>
      </c>
      <c r="N265" s="125" t="s">
        <v>283</v>
      </c>
      <c r="O265" s="126" t="s">
        <v>132</v>
      </c>
      <c r="P265" s="121" t="s">
        <v>138</v>
      </c>
      <c r="R265" s="118"/>
      <c r="S265" s="118"/>
      <c r="T265" s="118"/>
      <c r="U265" s="118"/>
      <c r="V265" s="118"/>
      <c r="W265" s="118"/>
      <c r="X265" s="118"/>
    </row>
    <row r="266" spans="1:24">
      <c r="A266" s="428"/>
      <c r="B266" s="431"/>
      <c r="C266" s="425"/>
      <c r="D266" s="476"/>
      <c r="E266" s="479"/>
      <c r="F266" s="479"/>
      <c r="G266" s="479"/>
      <c r="H266" s="479"/>
      <c r="I266" s="479"/>
      <c r="J266" s="479"/>
      <c r="K266" s="479"/>
      <c r="L266" s="150">
        <v>240</v>
      </c>
      <c r="M266" s="125" t="s">
        <v>28</v>
      </c>
      <c r="N266" s="128"/>
      <c r="O266" s="126"/>
      <c r="P266" s="137"/>
      <c r="R266" s="118"/>
      <c r="S266" s="118"/>
      <c r="T266" s="118"/>
      <c r="U266" s="118"/>
      <c r="V266" s="118"/>
      <c r="W266" s="118"/>
      <c r="X266" s="118"/>
    </row>
    <row r="267" spans="1:24">
      <c r="A267" s="428"/>
      <c r="B267" s="431"/>
      <c r="C267" s="425"/>
      <c r="D267" s="476"/>
      <c r="E267" s="479"/>
      <c r="F267" s="479"/>
      <c r="G267" s="479"/>
      <c r="H267" s="479"/>
      <c r="I267" s="479"/>
      <c r="J267" s="479"/>
      <c r="K267" s="479"/>
      <c r="L267" s="150">
        <v>241</v>
      </c>
      <c r="M267" s="130" t="s">
        <v>28</v>
      </c>
      <c r="N267" s="128"/>
      <c r="O267" s="126"/>
      <c r="P267" s="137"/>
      <c r="R267" s="118"/>
      <c r="S267" s="118"/>
      <c r="T267" s="118"/>
      <c r="U267" s="118"/>
      <c r="V267" s="118"/>
      <c r="W267" s="118"/>
      <c r="X267" s="118"/>
    </row>
    <row r="268" spans="1:24">
      <c r="A268" s="428"/>
      <c r="B268" s="431"/>
      <c r="C268" s="425"/>
      <c r="D268" s="476"/>
      <c r="E268" s="479"/>
      <c r="F268" s="479"/>
      <c r="G268" s="479"/>
      <c r="H268" s="479"/>
      <c r="I268" s="479"/>
      <c r="J268" s="479"/>
      <c r="K268" s="479"/>
      <c r="L268" s="150">
        <v>242</v>
      </c>
      <c r="M268" s="125" t="s">
        <v>28</v>
      </c>
      <c r="N268" s="128"/>
      <c r="O268" s="126"/>
      <c r="P268" s="137"/>
      <c r="R268" s="118"/>
      <c r="S268" s="118"/>
      <c r="T268" s="118"/>
      <c r="U268" s="118"/>
      <c r="V268" s="118"/>
      <c r="W268" s="118"/>
      <c r="X268" s="118"/>
    </row>
    <row r="269" spans="1:24">
      <c r="A269" s="428"/>
      <c r="B269" s="431"/>
      <c r="C269" s="425"/>
      <c r="D269" s="476"/>
      <c r="E269" s="479"/>
      <c r="F269" s="479"/>
      <c r="G269" s="479"/>
      <c r="H269" s="479"/>
      <c r="I269" s="479"/>
      <c r="J269" s="479"/>
      <c r="K269" s="479"/>
      <c r="L269" s="150">
        <v>243</v>
      </c>
      <c r="M269" s="130" t="s">
        <v>28</v>
      </c>
      <c r="N269" s="128"/>
      <c r="O269" s="126"/>
      <c r="P269" s="137"/>
      <c r="R269" s="118"/>
      <c r="S269" s="118"/>
      <c r="T269" s="118"/>
      <c r="U269" s="118"/>
      <c r="V269" s="118"/>
      <c r="W269" s="118"/>
      <c r="X269" s="118"/>
    </row>
    <row r="270" spans="1:24">
      <c r="A270" s="428"/>
      <c r="B270" s="431"/>
      <c r="C270" s="425"/>
      <c r="D270" s="476"/>
      <c r="E270" s="479"/>
      <c r="F270" s="479"/>
      <c r="G270" s="479"/>
      <c r="H270" s="479"/>
      <c r="I270" s="479"/>
      <c r="J270" s="479"/>
      <c r="K270" s="479"/>
      <c r="L270" s="150">
        <v>244</v>
      </c>
      <c r="M270" s="125" t="s">
        <v>28</v>
      </c>
      <c r="N270" s="128"/>
      <c r="O270" s="126"/>
      <c r="P270" s="137"/>
      <c r="R270" s="118"/>
      <c r="S270" s="118"/>
      <c r="T270" s="118"/>
      <c r="U270" s="118"/>
      <c r="V270" s="118"/>
      <c r="W270" s="118"/>
      <c r="X270" s="118"/>
    </row>
    <row r="271" spans="1:24">
      <c r="A271" s="428"/>
      <c r="B271" s="431"/>
      <c r="C271" s="425"/>
      <c r="D271" s="476"/>
      <c r="E271" s="479"/>
      <c r="F271" s="479"/>
      <c r="G271" s="479"/>
      <c r="H271" s="479"/>
      <c r="I271" s="479"/>
      <c r="J271" s="479"/>
      <c r="K271" s="479"/>
      <c r="L271" s="150">
        <v>245</v>
      </c>
      <c r="M271" s="130" t="s">
        <v>28</v>
      </c>
      <c r="N271" s="128"/>
      <c r="O271" s="126"/>
      <c r="P271" s="137"/>
      <c r="R271" s="118"/>
      <c r="S271" s="118"/>
      <c r="T271" s="118"/>
      <c r="U271" s="118"/>
      <c r="V271" s="118"/>
      <c r="W271" s="118"/>
      <c r="X271" s="118"/>
    </row>
    <row r="272" spans="1:24" ht="15.75" thickBot="1">
      <c r="A272" s="428"/>
      <c r="B272" s="431"/>
      <c r="C272" s="426"/>
      <c r="D272" s="477"/>
      <c r="E272" s="480"/>
      <c r="F272" s="480"/>
      <c r="G272" s="480"/>
      <c r="H272" s="480"/>
      <c r="I272" s="480"/>
      <c r="J272" s="480"/>
      <c r="K272" s="480"/>
      <c r="L272" s="151">
        <v>246</v>
      </c>
      <c r="M272" s="138" t="s">
        <v>28</v>
      </c>
      <c r="N272" s="148"/>
      <c r="O272" s="139"/>
      <c r="P272" s="140"/>
      <c r="R272" s="118"/>
      <c r="S272" s="118"/>
      <c r="T272" s="118"/>
      <c r="U272" s="118"/>
      <c r="V272" s="118"/>
      <c r="W272" s="118"/>
      <c r="X272" s="118"/>
    </row>
    <row r="273" spans="1:24">
      <c r="A273" s="428"/>
      <c r="B273" s="431"/>
      <c r="C273" s="424" t="str">
        <f>'Step 1 - System Definition'!O20</f>
        <v>Site Network Switch(s)</v>
      </c>
      <c r="D273" s="475" t="str">
        <f>'Step 5 - Mitigation Analysis'!F22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273" s="478" t="str">
        <f>'Step 5 - Mitigation Analysis'!I22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273" s="478" t="str">
        <f>'Step 5 - Mitigation Analysis'!L22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273" s="478" t="str">
        <f>'Step 5 - Mitigation Analysis'!O22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273" s="478" t="str">
        <f>'Step 5 - Mitigation Analysis'!R22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273" s="478" t="str">
        <f>'Step 5 - Mitigation Analysis'!U22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273" s="478" t="str">
        <f>'Step 5 - Mitigation Analysis'!X22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273" s="478" t="str">
        <f>'Step 5 - Mitigation Analysis'!AA22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273" s="149">
        <v>247</v>
      </c>
      <c r="M273" s="134" t="s">
        <v>28</v>
      </c>
      <c r="N273" s="147"/>
      <c r="O273" s="135"/>
      <c r="P273" s="136"/>
      <c r="R273" s="118"/>
      <c r="S273" s="118"/>
      <c r="T273" s="118"/>
      <c r="U273" s="118"/>
      <c r="V273" s="118"/>
      <c r="W273" s="118"/>
      <c r="X273" s="118"/>
    </row>
    <row r="274" spans="1:24">
      <c r="A274" s="428"/>
      <c r="B274" s="431"/>
      <c r="C274" s="425"/>
      <c r="D274" s="476"/>
      <c r="E274" s="479"/>
      <c r="F274" s="479"/>
      <c r="G274" s="479"/>
      <c r="H274" s="479"/>
      <c r="I274" s="479"/>
      <c r="J274" s="479"/>
      <c r="K274" s="479"/>
      <c r="L274" s="150">
        <v>248</v>
      </c>
      <c r="M274" s="125" t="s">
        <v>28</v>
      </c>
      <c r="N274" s="128"/>
      <c r="O274" s="126"/>
      <c r="P274" s="137"/>
      <c r="R274" s="118"/>
      <c r="S274" s="118"/>
      <c r="T274" s="118"/>
      <c r="U274" s="118"/>
      <c r="V274" s="118"/>
      <c r="W274" s="118"/>
      <c r="X274" s="118"/>
    </row>
    <row r="275" spans="1:24">
      <c r="A275" s="428"/>
      <c r="B275" s="431"/>
      <c r="C275" s="425"/>
      <c r="D275" s="476"/>
      <c r="E275" s="479"/>
      <c r="F275" s="479"/>
      <c r="G275" s="479"/>
      <c r="H275" s="479"/>
      <c r="I275" s="479"/>
      <c r="J275" s="479"/>
      <c r="K275" s="479"/>
      <c r="L275" s="150">
        <v>249</v>
      </c>
      <c r="M275" s="130" t="s">
        <v>28</v>
      </c>
      <c r="N275" s="128"/>
      <c r="O275" s="126"/>
      <c r="P275" s="137"/>
      <c r="R275" s="118"/>
      <c r="S275" s="118"/>
      <c r="T275" s="118"/>
      <c r="U275" s="118"/>
      <c r="V275" s="118"/>
      <c r="W275" s="118"/>
      <c r="X275" s="118"/>
    </row>
    <row r="276" spans="1:24">
      <c r="A276" s="428"/>
      <c r="B276" s="431"/>
      <c r="C276" s="425"/>
      <c r="D276" s="476"/>
      <c r="E276" s="479"/>
      <c r="F276" s="479"/>
      <c r="G276" s="479"/>
      <c r="H276" s="479"/>
      <c r="I276" s="479"/>
      <c r="J276" s="479"/>
      <c r="K276" s="479"/>
      <c r="L276" s="150">
        <v>250</v>
      </c>
      <c r="M276" s="125" t="s">
        <v>28</v>
      </c>
      <c r="N276" s="128"/>
      <c r="O276" s="126"/>
      <c r="P276" s="137"/>
      <c r="R276" s="118"/>
      <c r="S276" s="118"/>
      <c r="T276" s="118"/>
      <c r="U276" s="118"/>
      <c r="V276" s="118"/>
      <c r="W276" s="118"/>
      <c r="X276" s="118"/>
    </row>
    <row r="277" spans="1:24">
      <c r="A277" s="428"/>
      <c r="B277" s="431"/>
      <c r="C277" s="425"/>
      <c r="D277" s="476"/>
      <c r="E277" s="479"/>
      <c r="F277" s="479"/>
      <c r="G277" s="479"/>
      <c r="H277" s="479"/>
      <c r="I277" s="479"/>
      <c r="J277" s="479"/>
      <c r="K277" s="479"/>
      <c r="L277" s="150">
        <v>251</v>
      </c>
      <c r="M277" s="130" t="s">
        <v>28</v>
      </c>
      <c r="N277" s="128"/>
      <c r="O277" s="126"/>
      <c r="P277" s="137"/>
      <c r="R277" s="118"/>
      <c r="S277" s="118"/>
      <c r="T277" s="118"/>
      <c r="U277" s="118"/>
      <c r="V277" s="118"/>
      <c r="W277" s="118"/>
      <c r="X277" s="118"/>
    </row>
    <row r="278" spans="1:24">
      <c r="A278" s="428"/>
      <c r="B278" s="431"/>
      <c r="C278" s="425"/>
      <c r="D278" s="476"/>
      <c r="E278" s="479"/>
      <c r="F278" s="479"/>
      <c r="G278" s="479"/>
      <c r="H278" s="479"/>
      <c r="I278" s="479"/>
      <c r="J278" s="479"/>
      <c r="K278" s="479"/>
      <c r="L278" s="150">
        <v>252</v>
      </c>
      <c r="M278" s="125" t="s">
        <v>28</v>
      </c>
      <c r="N278" s="128"/>
      <c r="O278" s="126"/>
      <c r="P278" s="137" t="s">
        <v>366</v>
      </c>
      <c r="R278" s="118"/>
      <c r="S278" s="118"/>
      <c r="T278" s="118"/>
      <c r="U278" s="118"/>
      <c r="V278" s="118"/>
      <c r="W278" s="118"/>
      <c r="X278" s="118"/>
    </row>
    <row r="279" spans="1:24">
      <c r="A279" s="428"/>
      <c r="B279" s="431"/>
      <c r="C279" s="425"/>
      <c r="D279" s="476"/>
      <c r="E279" s="479"/>
      <c r="F279" s="479"/>
      <c r="G279" s="479"/>
      <c r="H279" s="479"/>
      <c r="I279" s="479"/>
      <c r="J279" s="479"/>
      <c r="K279" s="479"/>
      <c r="L279" s="150">
        <v>253</v>
      </c>
      <c r="M279" s="130" t="s">
        <v>28</v>
      </c>
      <c r="N279" s="128"/>
      <c r="O279" s="126"/>
      <c r="P279" s="137"/>
      <c r="R279" s="118"/>
      <c r="S279" s="118"/>
      <c r="T279" s="118"/>
      <c r="U279" s="118"/>
      <c r="V279" s="118"/>
      <c r="W279" s="118"/>
      <c r="X279" s="118"/>
    </row>
    <row r="280" spans="1:24">
      <c r="A280" s="428"/>
      <c r="B280" s="431"/>
      <c r="C280" s="425"/>
      <c r="D280" s="476"/>
      <c r="E280" s="479"/>
      <c r="F280" s="479"/>
      <c r="G280" s="479"/>
      <c r="H280" s="479"/>
      <c r="I280" s="479"/>
      <c r="J280" s="479"/>
      <c r="K280" s="479"/>
      <c r="L280" s="150">
        <v>254</v>
      </c>
      <c r="M280" s="125" t="s">
        <v>28</v>
      </c>
      <c r="N280" s="128"/>
      <c r="O280" s="126"/>
      <c r="P280" s="137"/>
      <c r="R280" s="118"/>
      <c r="S280" s="118"/>
      <c r="T280" s="118"/>
      <c r="U280" s="118"/>
      <c r="V280" s="118"/>
      <c r="W280" s="118"/>
      <c r="X280" s="118"/>
    </row>
    <row r="281" spans="1:24">
      <c r="A281" s="428"/>
      <c r="B281" s="431"/>
      <c r="C281" s="425"/>
      <c r="D281" s="476"/>
      <c r="E281" s="479"/>
      <c r="F281" s="479"/>
      <c r="G281" s="479"/>
      <c r="H281" s="479"/>
      <c r="I281" s="479"/>
      <c r="J281" s="479"/>
      <c r="K281" s="479"/>
      <c r="L281" s="150">
        <v>255</v>
      </c>
      <c r="M281" s="130" t="s">
        <v>28</v>
      </c>
      <c r="N281" s="128"/>
      <c r="O281" s="126"/>
      <c r="P281" s="137"/>
      <c r="R281" s="118"/>
      <c r="S281" s="118"/>
      <c r="T281" s="118"/>
      <c r="U281" s="118"/>
      <c r="V281" s="118"/>
      <c r="W281" s="118"/>
      <c r="X281" s="118"/>
    </row>
    <row r="282" spans="1:24" ht="24">
      <c r="A282" s="428"/>
      <c r="B282" s="431"/>
      <c r="C282" s="425"/>
      <c r="D282" s="476"/>
      <c r="E282" s="479"/>
      <c r="F282" s="479"/>
      <c r="G282" s="479"/>
      <c r="H282" s="479"/>
      <c r="I282" s="479"/>
      <c r="J282" s="479"/>
      <c r="K282" s="479"/>
      <c r="L282" s="150">
        <v>256</v>
      </c>
      <c r="M282" s="125" t="s">
        <v>28</v>
      </c>
      <c r="N282" s="125" t="s">
        <v>283</v>
      </c>
      <c r="O282" s="126" t="s">
        <v>132</v>
      </c>
      <c r="P282" s="121" t="s">
        <v>138</v>
      </c>
      <c r="R282" s="118"/>
      <c r="S282" s="118"/>
      <c r="T282" s="118"/>
      <c r="U282" s="118"/>
      <c r="V282" s="118"/>
      <c r="W282" s="118"/>
      <c r="X282" s="118"/>
    </row>
    <row r="283" spans="1:24" ht="24">
      <c r="A283" s="428"/>
      <c r="B283" s="431"/>
      <c r="C283" s="425"/>
      <c r="D283" s="476"/>
      <c r="E283" s="479"/>
      <c r="F283" s="479"/>
      <c r="G283" s="479"/>
      <c r="H283" s="479"/>
      <c r="I283" s="479"/>
      <c r="J283" s="479"/>
      <c r="K283" s="479"/>
      <c r="L283" s="150">
        <v>257</v>
      </c>
      <c r="M283" s="130" t="s">
        <v>28</v>
      </c>
      <c r="N283" s="125" t="s">
        <v>283</v>
      </c>
      <c r="O283" s="126" t="s">
        <v>132</v>
      </c>
      <c r="P283" s="121" t="s">
        <v>137</v>
      </c>
      <c r="R283" s="118"/>
      <c r="S283" s="118"/>
      <c r="T283" s="118"/>
      <c r="U283" s="118"/>
      <c r="V283" s="118"/>
      <c r="W283" s="118"/>
      <c r="X283" s="118"/>
    </row>
    <row r="284" spans="1:24">
      <c r="A284" s="428"/>
      <c r="B284" s="431"/>
      <c r="C284" s="425"/>
      <c r="D284" s="476"/>
      <c r="E284" s="479"/>
      <c r="F284" s="479"/>
      <c r="G284" s="479"/>
      <c r="H284" s="479"/>
      <c r="I284" s="479"/>
      <c r="J284" s="479"/>
      <c r="K284" s="479"/>
      <c r="L284" s="150">
        <v>258</v>
      </c>
      <c r="M284" s="125" t="s">
        <v>28</v>
      </c>
      <c r="N284" s="128"/>
      <c r="O284" s="126"/>
      <c r="P284" s="137"/>
      <c r="R284" s="118"/>
      <c r="S284" s="118"/>
      <c r="T284" s="118"/>
      <c r="U284" s="118"/>
      <c r="V284" s="118"/>
      <c r="W284" s="118"/>
      <c r="X284" s="118"/>
    </row>
    <row r="285" spans="1:24">
      <c r="A285" s="428"/>
      <c r="B285" s="431"/>
      <c r="C285" s="425"/>
      <c r="D285" s="476"/>
      <c r="E285" s="479"/>
      <c r="F285" s="479"/>
      <c r="G285" s="479"/>
      <c r="H285" s="479"/>
      <c r="I285" s="479"/>
      <c r="J285" s="479"/>
      <c r="K285" s="479"/>
      <c r="L285" s="150">
        <v>259</v>
      </c>
      <c r="M285" s="130" t="s">
        <v>28</v>
      </c>
      <c r="N285" s="128"/>
      <c r="O285" s="126"/>
      <c r="P285" s="137"/>
      <c r="R285" s="118"/>
      <c r="S285" s="118"/>
      <c r="T285" s="118"/>
      <c r="U285" s="118"/>
      <c r="V285" s="118"/>
      <c r="W285" s="118"/>
      <c r="X285" s="118"/>
    </row>
    <row r="286" spans="1:24">
      <c r="A286" s="428"/>
      <c r="B286" s="431"/>
      <c r="C286" s="425"/>
      <c r="D286" s="476"/>
      <c r="E286" s="479"/>
      <c r="F286" s="479"/>
      <c r="G286" s="479"/>
      <c r="H286" s="479"/>
      <c r="I286" s="479"/>
      <c r="J286" s="479"/>
      <c r="K286" s="479"/>
      <c r="L286" s="150">
        <v>260</v>
      </c>
      <c r="M286" s="125" t="s">
        <v>28</v>
      </c>
      <c r="N286" s="128"/>
      <c r="O286" s="126"/>
      <c r="P286" s="137"/>
      <c r="R286" s="118"/>
      <c r="S286" s="118"/>
      <c r="T286" s="118"/>
      <c r="U286" s="118"/>
      <c r="V286" s="118"/>
      <c r="W286" s="118"/>
      <c r="X286" s="118"/>
    </row>
    <row r="287" spans="1:24">
      <c r="A287" s="428"/>
      <c r="B287" s="431"/>
      <c r="C287" s="425"/>
      <c r="D287" s="476"/>
      <c r="E287" s="479"/>
      <c r="F287" s="479"/>
      <c r="G287" s="479"/>
      <c r="H287" s="479"/>
      <c r="I287" s="479"/>
      <c r="J287" s="479"/>
      <c r="K287" s="479"/>
      <c r="L287" s="150">
        <v>261</v>
      </c>
      <c r="M287" s="130" t="s">
        <v>28</v>
      </c>
      <c r="N287" s="128"/>
      <c r="O287" s="126"/>
      <c r="P287" s="137"/>
      <c r="R287" s="118"/>
      <c r="S287" s="118"/>
      <c r="T287" s="118"/>
      <c r="U287" s="118"/>
      <c r="V287" s="118"/>
      <c r="W287" s="118"/>
      <c r="X287" s="118"/>
    </row>
    <row r="288" spans="1:24">
      <c r="A288" s="428"/>
      <c r="B288" s="431"/>
      <c r="C288" s="425"/>
      <c r="D288" s="476"/>
      <c r="E288" s="479"/>
      <c r="F288" s="479"/>
      <c r="G288" s="479"/>
      <c r="H288" s="479"/>
      <c r="I288" s="479"/>
      <c r="J288" s="479"/>
      <c r="K288" s="479"/>
      <c r="L288" s="150">
        <v>262</v>
      </c>
      <c r="M288" s="125" t="s">
        <v>28</v>
      </c>
      <c r="N288" s="128"/>
      <c r="O288" s="126"/>
      <c r="P288" s="137"/>
      <c r="R288" s="118"/>
      <c r="S288" s="118"/>
      <c r="T288" s="118"/>
      <c r="U288" s="118"/>
      <c r="V288" s="118"/>
      <c r="W288" s="118"/>
      <c r="X288" s="118"/>
    </row>
    <row r="289" spans="1:24" ht="15.75" thickBot="1">
      <c r="A289" s="428"/>
      <c r="B289" s="431"/>
      <c r="C289" s="426"/>
      <c r="D289" s="477"/>
      <c r="E289" s="480"/>
      <c r="F289" s="480"/>
      <c r="G289" s="480"/>
      <c r="H289" s="480"/>
      <c r="I289" s="480"/>
      <c r="J289" s="480"/>
      <c r="K289" s="480"/>
      <c r="L289" s="151">
        <v>263</v>
      </c>
      <c r="M289" s="290" t="s">
        <v>28</v>
      </c>
      <c r="N289" s="148"/>
      <c r="O289" s="139"/>
      <c r="P289" s="140"/>
      <c r="R289" s="118"/>
      <c r="S289" s="118"/>
      <c r="T289" s="118"/>
      <c r="U289" s="118"/>
      <c r="V289" s="118"/>
      <c r="W289" s="118"/>
      <c r="X289" s="118"/>
    </row>
    <row r="290" spans="1:24">
      <c r="A290" s="428"/>
      <c r="B290" s="431"/>
      <c r="C290" s="424" t="str">
        <f>'Step 1 - System Definition'!O21</f>
        <v>Security Firewall(s)</v>
      </c>
      <c r="D290" s="475" t="str">
        <f>'Step 5 - Mitigation Analysis'!F23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290" s="478" t="str">
        <f>'Step 5 - Mitigation Analysis'!I23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290" s="478" t="str">
        <f>'Step 5 - Mitigation Analysis'!L23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290" s="478" t="str">
        <f>'Step 5 - Mitigation Analysis'!O23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290" s="478" t="str">
        <f>'Step 5 - Mitigation Analysis'!R23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290" s="478" t="str">
        <f>'Step 5 - Mitigation Analysis'!U23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290" s="478" t="str">
        <f>'Step 5 - Mitigation Analysis'!X23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290" s="478" t="str">
        <f>'Step 5 - Mitigation Analysis'!AA23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290" s="149">
        <v>264</v>
      </c>
      <c r="M290" s="134" t="s">
        <v>28</v>
      </c>
      <c r="N290" s="147"/>
      <c r="O290" s="135"/>
      <c r="P290" s="136"/>
      <c r="R290" s="118"/>
      <c r="S290" s="118"/>
      <c r="T290" s="118"/>
      <c r="U290" s="118"/>
      <c r="V290" s="118"/>
      <c r="W290" s="118"/>
      <c r="X290" s="118"/>
    </row>
    <row r="291" spans="1:24">
      <c r="A291" s="428"/>
      <c r="B291" s="431"/>
      <c r="C291" s="425"/>
      <c r="D291" s="476"/>
      <c r="E291" s="479"/>
      <c r="F291" s="479"/>
      <c r="G291" s="479"/>
      <c r="H291" s="479"/>
      <c r="I291" s="479"/>
      <c r="J291" s="479"/>
      <c r="K291" s="479"/>
      <c r="L291" s="150">
        <v>265</v>
      </c>
      <c r="M291" s="130" t="s">
        <v>28</v>
      </c>
      <c r="N291" s="128"/>
      <c r="O291" s="126"/>
      <c r="P291" s="137"/>
      <c r="R291" s="118"/>
      <c r="S291" s="118"/>
      <c r="T291" s="118"/>
      <c r="U291" s="118"/>
      <c r="V291" s="118"/>
      <c r="W291" s="118"/>
      <c r="X291" s="118"/>
    </row>
    <row r="292" spans="1:24">
      <c r="A292" s="428"/>
      <c r="B292" s="431"/>
      <c r="C292" s="425"/>
      <c r="D292" s="476"/>
      <c r="E292" s="479"/>
      <c r="F292" s="479"/>
      <c r="G292" s="479"/>
      <c r="H292" s="479"/>
      <c r="I292" s="479"/>
      <c r="J292" s="479"/>
      <c r="K292" s="479"/>
      <c r="L292" s="150">
        <v>266</v>
      </c>
      <c r="M292" s="125" t="s">
        <v>28</v>
      </c>
      <c r="N292" s="128"/>
      <c r="O292" s="126"/>
      <c r="P292" s="137"/>
      <c r="R292" s="118"/>
      <c r="S292" s="118"/>
      <c r="T292" s="118"/>
      <c r="U292" s="118"/>
      <c r="V292" s="118"/>
      <c r="W292" s="118"/>
      <c r="X292" s="118"/>
    </row>
    <row r="293" spans="1:24">
      <c r="A293" s="428"/>
      <c r="B293" s="431"/>
      <c r="C293" s="425"/>
      <c r="D293" s="476"/>
      <c r="E293" s="479"/>
      <c r="F293" s="479"/>
      <c r="G293" s="479"/>
      <c r="H293" s="479"/>
      <c r="I293" s="479"/>
      <c r="J293" s="479"/>
      <c r="K293" s="479"/>
      <c r="L293" s="150">
        <v>267</v>
      </c>
      <c r="M293" s="130" t="s">
        <v>28</v>
      </c>
      <c r="N293" s="128"/>
      <c r="O293" s="126"/>
      <c r="P293" s="137"/>
      <c r="R293" s="118"/>
      <c r="S293" s="118"/>
      <c r="T293" s="118"/>
      <c r="U293" s="118"/>
      <c r="V293" s="118"/>
      <c r="W293" s="118"/>
      <c r="X293" s="118"/>
    </row>
    <row r="294" spans="1:24">
      <c r="A294" s="428"/>
      <c r="B294" s="431"/>
      <c r="C294" s="425"/>
      <c r="D294" s="476"/>
      <c r="E294" s="479"/>
      <c r="F294" s="479"/>
      <c r="G294" s="479"/>
      <c r="H294" s="479"/>
      <c r="I294" s="479"/>
      <c r="J294" s="479"/>
      <c r="K294" s="479"/>
      <c r="L294" s="150">
        <v>268</v>
      </c>
      <c r="M294" s="125" t="s">
        <v>28</v>
      </c>
      <c r="N294" s="128"/>
      <c r="O294" s="126"/>
      <c r="P294" s="137"/>
      <c r="R294" s="118"/>
      <c r="S294" s="118"/>
      <c r="T294" s="118"/>
      <c r="U294" s="118"/>
      <c r="V294" s="118"/>
      <c r="W294" s="118"/>
      <c r="X294" s="118"/>
    </row>
    <row r="295" spans="1:24">
      <c r="A295" s="428"/>
      <c r="B295" s="431"/>
      <c r="C295" s="425"/>
      <c r="D295" s="476"/>
      <c r="E295" s="479"/>
      <c r="F295" s="479"/>
      <c r="G295" s="479"/>
      <c r="H295" s="479"/>
      <c r="I295" s="479"/>
      <c r="J295" s="479"/>
      <c r="K295" s="479"/>
      <c r="L295" s="150">
        <v>269</v>
      </c>
      <c r="M295" s="130" t="s">
        <v>28</v>
      </c>
      <c r="N295" s="128"/>
      <c r="O295" s="126"/>
      <c r="P295" s="137"/>
      <c r="R295" s="118"/>
      <c r="S295" s="118"/>
      <c r="T295" s="118"/>
      <c r="U295" s="118"/>
      <c r="V295" s="118"/>
      <c r="W295" s="118"/>
      <c r="X295" s="118"/>
    </row>
    <row r="296" spans="1:24" ht="24">
      <c r="A296" s="428"/>
      <c r="B296" s="431"/>
      <c r="C296" s="425"/>
      <c r="D296" s="476"/>
      <c r="E296" s="479"/>
      <c r="F296" s="479"/>
      <c r="G296" s="479"/>
      <c r="H296" s="479"/>
      <c r="I296" s="479"/>
      <c r="J296" s="479"/>
      <c r="K296" s="479"/>
      <c r="L296" s="150">
        <v>270</v>
      </c>
      <c r="M296" s="125" t="s">
        <v>28</v>
      </c>
      <c r="N296" s="125" t="s">
        <v>283</v>
      </c>
      <c r="O296" s="126" t="s">
        <v>132</v>
      </c>
      <c r="P296" s="121" t="s">
        <v>138</v>
      </c>
      <c r="R296" s="118"/>
      <c r="S296" s="118"/>
      <c r="T296" s="118"/>
      <c r="U296" s="118"/>
      <c r="V296" s="118"/>
      <c r="W296" s="118"/>
      <c r="X296" s="118"/>
    </row>
    <row r="297" spans="1:24" ht="24">
      <c r="A297" s="428"/>
      <c r="B297" s="431"/>
      <c r="C297" s="425"/>
      <c r="D297" s="476"/>
      <c r="E297" s="479"/>
      <c r="F297" s="479"/>
      <c r="G297" s="479"/>
      <c r="H297" s="479"/>
      <c r="I297" s="479"/>
      <c r="J297" s="479"/>
      <c r="K297" s="479"/>
      <c r="L297" s="150">
        <v>271</v>
      </c>
      <c r="M297" s="130" t="s">
        <v>28</v>
      </c>
      <c r="N297" s="125" t="s">
        <v>283</v>
      </c>
      <c r="O297" s="126" t="s">
        <v>132</v>
      </c>
      <c r="P297" s="121" t="s">
        <v>137</v>
      </c>
      <c r="R297" s="118"/>
      <c r="S297" s="118"/>
      <c r="T297" s="118"/>
      <c r="U297" s="118"/>
      <c r="V297" s="118"/>
      <c r="W297" s="118"/>
      <c r="X297" s="118"/>
    </row>
    <row r="298" spans="1:24">
      <c r="A298" s="428"/>
      <c r="B298" s="431"/>
      <c r="C298" s="425"/>
      <c r="D298" s="476"/>
      <c r="E298" s="479"/>
      <c r="F298" s="479"/>
      <c r="G298" s="479"/>
      <c r="H298" s="479"/>
      <c r="I298" s="479"/>
      <c r="J298" s="479"/>
      <c r="K298" s="479"/>
      <c r="L298" s="150">
        <v>272</v>
      </c>
      <c r="M298" s="125" t="s">
        <v>28</v>
      </c>
      <c r="N298" s="128"/>
      <c r="O298" s="126"/>
      <c r="P298" s="137"/>
      <c r="R298" s="118"/>
      <c r="S298" s="118"/>
      <c r="T298" s="118"/>
      <c r="U298" s="118"/>
      <c r="V298" s="118"/>
      <c r="W298" s="118"/>
      <c r="X298" s="118"/>
    </row>
    <row r="299" spans="1:24">
      <c r="A299" s="428"/>
      <c r="B299" s="431"/>
      <c r="C299" s="425"/>
      <c r="D299" s="476"/>
      <c r="E299" s="479"/>
      <c r="F299" s="479"/>
      <c r="G299" s="479"/>
      <c r="H299" s="479"/>
      <c r="I299" s="479"/>
      <c r="J299" s="479"/>
      <c r="K299" s="479"/>
      <c r="L299" s="150">
        <v>273</v>
      </c>
      <c r="M299" s="130" t="s">
        <v>28</v>
      </c>
      <c r="N299" s="128"/>
      <c r="O299" s="126"/>
      <c r="P299" s="137"/>
      <c r="R299" s="118"/>
      <c r="S299" s="118"/>
      <c r="T299" s="118"/>
      <c r="U299" s="118"/>
      <c r="V299" s="118"/>
      <c r="W299" s="118"/>
      <c r="X299" s="118"/>
    </row>
    <row r="300" spans="1:24">
      <c r="A300" s="428"/>
      <c r="B300" s="431"/>
      <c r="C300" s="425"/>
      <c r="D300" s="476"/>
      <c r="E300" s="479"/>
      <c r="F300" s="479"/>
      <c r="G300" s="479"/>
      <c r="H300" s="479"/>
      <c r="I300" s="479"/>
      <c r="J300" s="479"/>
      <c r="K300" s="479"/>
      <c r="L300" s="150">
        <v>274</v>
      </c>
      <c r="M300" s="125" t="s">
        <v>28</v>
      </c>
      <c r="N300" s="128"/>
      <c r="O300" s="126"/>
      <c r="P300" s="137"/>
      <c r="R300" s="118"/>
      <c r="S300" s="118"/>
      <c r="T300" s="118"/>
      <c r="U300" s="118"/>
      <c r="V300" s="118"/>
      <c r="W300" s="118"/>
      <c r="X300" s="118"/>
    </row>
    <row r="301" spans="1:24">
      <c r="A301" s="428"/>
      <c r="B301" s="431"/>
      <c r="C301" s="425"/>
      <c r="D301" s="476"/>
      <c r="E301" s="479"/>
      <c r="F301" s="479"/>
      <c r="G301" s="479"/>
      <c r="H301" s="479"/>
      <c r="I301" s="479"/>
      <c r="J301" s="479"/>
      <c r="K301" s="479"/>
      <c r="L301" s="150">
        <v>275</v>
      </c>
      <c r="M301" s="130" t="s">
        <v>28</v>
      </c>
      <c r="N301" s="128"/>
      <c r="O301" s="126"/>
      <c r="P301" s="137"/>
      <c r="R301" s="118"/>
      <c r="S301" s="118"/>
      <c r="T301" s="118"/>
      <c r="U301" s="118"/>
      <c r="V301" s="118"/>
      <c r="W301" s="118"/>
      <c r="X301" s="118"/>
    </row>
    <row r="302" spans="1:24">
      <c r="A302" s="428"/>
      <c r="B302" s="431"/>
      <c r="C302" s="425"/>
      <c r="D302" s="476"/>
      <c r="E302" s="479"/>
      <c r="F302" s="479"/>
      <c r="G302" s="479"/>
      <c r="H302" s="479"/>
      <c r="I302" s="479"/>
      <c r="J302" s="479"/>
      <c r="K302" s="479"/>
      <c r="L302" s="150">
        <v>276</v>
      </c>
      <c r="M302" s="125" t="s">
        <v>28</v>
      </c>
      <c r="N302" s="128"/>
      <c r="O302" s="126"/>
      <c r="P302" s="137"/>
      <c r="R302" s="118"/>
      <c r="S302" s="118"/>
      <c r="T302" s="118"/>
      <c r="U302" s="118"/>
      <c r="V302" s="118"/>
      <c r="W302" s="118"/>
      <c r="X302" s="118"/>
    </row>
    <row r="303" spans="1:24" ht="15.75" thickBot="1">
      <c r="A303" s="428"/>
      <c r="B303" s="431"/>
      <c r="C303" s="426"/>
      <c r="D303" s="477"/>
      <c r="E303" s="480"/>
      <c r="F303" s="480"/>
      <c r="G303" s="480"/>
      <c r="H303" s="480"/>
      <c r="I303" s="480"/>
      <c r="J303" s="480"/>
      <c r="K303" s="480"/>
      <c r="L303" s="151">
        <v>277</v>
      </c>
      <c r="M303" s="290" t="s">
        <v>28</v>
      </c>
      <c r="N303" s="148"/>
      <c r="O303" s="139"/>
      <c r="P303" s="140"/>
      <c r="R303" s="118"/>
      <c r="S303" s="118"/>
      <c r="T303" s="118"/>
      <c r="U303" s="118"/>
      <c r="V303" s="118"/>
      <c r="W303" s="118"/>
      <c r="X303" s="118"/>
    </row>
    <row r="304" spans="1:24">
      <c r="A304" s="428"/>
      <c r="B304" s="431"/>
      <c r="C304" s="424" t="str">
        <f>'Step 1 - System Definition'!O22</f>
        <v>Site Router(s)</v>
      </c>
      <c r="D304" s="475" t="str">
        <f>'Step 5 - Mitigation Analysis'!F24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304" s="478" t="str">
        <f>'Step 5 - Mitigation Analysis'!I24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304" s="478" t="str">
        <f>'Step 5 - Mitigation Analysis'!L24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304" s="478" t="str">
        <f>'Step 5 - Mitigation Analysis'!O24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304" s="478" t="str">
        <f>'Step 5 - Mitigation Analysis'!R24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304" s="478" t="str">
        <f>'Step 5 - Mitigation Analysis'!U24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304" s="478" t="str">
        <f>'Step 5 - Mitigation Analysis'!X24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304" s="478" t="str">
        <f>'Step 5 - Mitigation Analysis'!AA24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304" s="149">
        <v>278</v>
      </c>
      <c r="M304" s="134" t="s">
        <v>28</v>
      </c>
      <c r="N304" s="147"/>
      <c r="O304" s="135"/>
      <c r="P304" s="136"/>
      <c r="R304" s="118"/>
      <c r="S304" s="118"/>
      <c r="T304" s="118"/>
      <c r="U304" s="118"/>
      <c r="V304" s="118"/>
      <c r="W304" s="118"/>
      <c r="X304" s="118"/>
    </row>
    <row r="305" spans="1:24">
      <c r="A305" s="428"/>
      <c r="B305" s="431"/>
      <c r="C305" s="425"/>
      <c r="D305" s="476"/>
      <c r="E305" s="479"/>
      <c r="F305" s="479"/>
      <c r="G305" s="479"/>
      <c r="H305" s="479"/>
      <c r="I305" s="479"/>
      <c r="J305" s="479"/>
      <c r="K305" s="479"/>
      <c r="L305" s="150">
        <v>279</v>
      </c>
      <c r="M305" s="130" t="s">
        <v>28</v>
      </c>
      <c r="N305" s="128"/>
      <c r="O305" s="126"/>
      <c r="P305" s="137"/>
      <c r="R305" s="118"/>
      <c r="S305" s="118"/>
      <c r="T305" s="118"/>
      <c r="U305" s="118"/>
      <c r="V305" s="118"/>
      <c r="W305" s="118"/>
      <c r="X305" s="118"/>
    </row>
    <row r="306" spans="1:24">
      <c r="A306" s="428"/>
      <c r="B306" s="431"/>
      <c r="C306" s="425"/>
      <c r="D306" s="476"/>
      <c r="E306" s="479"/>
      <c r="F306" s="479"/>
      <c r="G306" s="479"/>
      <c r="H306" s="479"/>
      <c r="I306" s="479"/>
      <c r="J306" s="479"/>
      <c r="K306" s="479"/>
      <c r="L306" s="150">
        <v>280</v>
      </c>
      <c r="M306" s="125" t="s">
        <v>28</v>
      </c>
      <c r="N306" s="128"/>
      <c r="O306" s="126"/>
      <c r="P306" s="137"/>
      <c r="R306" s="118"/>
      <c r="S306" s="118"/>
      <c r="T306" s="118"/>
      <c r="U306" s="118"/>
      <c r="V306" s="118"/>
      <c r="W306" s="118"/>
      <c r="X306" s="118"/>
    </row>
    <row r="307" spans="1:24">
      <c r="A307" s="428"/>
      <c r="B307" s="431"/>
      <c r="C307" s="425"/>
      <c r="D307" s="476"/>
      <c r="E307" s="479"/>
      <c r="F307" s="479"/>
      <c r="G307" s="479"/>
      <c r="H307" s="479"/>
      <c r="I307" s="479"/>
      <c r="J307" s="479"/>
      <c r="K307" s="479"/>
      <c r="L307" s="150">
        <v>281</v>
      </c>
      <c r="M307" s="130" t="s">
        <v>28</v>
      </c>
      <c r="N307" s="128"/>
      <c r="O307" s="126"/>
      <c r="P307" s="137"/>
      <c r="R307" s="118"/>
      <c r="S307" s="118"/>
      <c r="T307" s="118"/>
      <c r="U307" s="118"/>
      <c r="V307" s="118"/>
      <c r="W307" s="118"/>
      <c r="X307" s="118"/>
    </row>
    <row r="308" spans="1:24">
      <c r="A308" s="428"/>
      <c r="B308" s="431"/>
      <c r="C308" s="425"/>
      <c r="D308" s="476"/>
      <c r="E308" s="479"/>
      <c r="F308" s="479"/>
      <c r="G308" s="479"/>
      <c r="H308" s="479"/>
      <c r="I308" s="479"/>
      <c r="J308" s="479"/>
      <c r="K308" s="479"/>
      <c r="L308" s="150">
        <v>282</v>
      </c>
      <c r="M308" s="125" t="s">
        <v>28</v>
      </c>
      <c r="N308" s="128"/>
      <c r="O308" s="126"/>
      <c r="P308" s="137"/>
      <c r="R308" s="118"/>
      <c r="S308" s="118"/>
      <c r="T308" s="118"/>
      <c r="U308" s="118"/>
      <c r="V308" s="118"/>
      <c r="W308" s="118"/>
      <c r="X308" s="118"/>
    </row>
    <row r="309" spans="1:24">
      <c r="A309" s="428"/>
      <c r="B309" s="431"/>
      <c r="C309" s="425"/>
      <c r="D309" s="476"/>
      <c r="E309" s="479"/>
      <c r="F309" s="479"/>
      <c r="G309" s="479"/>
      <c r="H309" s="479"/>
      <c r="I309" s="479"/>
      <c r="J309" s="479"/>
      <c r="K309" s="479"/>
      <c r="L309" s="150">
        <v>283</v>
      </c>
      <c r="M309" s="130" t="s">
        <v>28</v>
      </c>
      <c r="N309" s="128"/>
      <c r="O309" s="126"/>
      <c r="P309" s="137"/>
      <c r="R309" s="118"/>
      <c r="S309" s="118"/>
      <c r="T309" s="118"/>
      <c r="U309" s="118"/>
      <c r="V309" s="118"/>
      <c r="W309" s="118"/>
      <c r="X309" s="118"/>
    </row>
    <row r="310" spans="1:24" ht="24">
      <c r="A310" s="428"/>
      <c r="B310" s="431"/>
      <c r="C310" s="425"/>
      <c r="D310" s="476"/>
      <c r="E310" s="479"/>
      <c r="F310" s="479"/>
      <c r="G310" s="479"/>
      <c r="H310" s="479"/>
      <c r="I310" s="479"/>
      <c r="J310" s="479"/>
      <c r="K310" s="479"/>
      <c r="L310" s="150">
        <v>284</v>
      </c>
      <c r="M310" s="125" t="s">
        <v>28</v>
      </c>
      <c r="N310" s="125" t="s">
        <v>283</v>
      </c>
      <c r="O310" s="126" t="s">
        <v>132</v>
      </c>
      <c r="P310" s="121" t="s">
        <v>138</v>
      </c>
      <c r="R310" s="118"/>
      <c r="S310" s="118"/>
      <c r="T310" s="118"/>
      <c r="U310" s="118"/>
      <c r="V310" s="118"/>
      <c r="W310" s="118"/>
      <c r="X310" s="118"/>
    </row>
    <row r="311" spans="1:24" ht="24">
      <c r="A311" s="428"/>
      <c r="B311" s="431"/>
      <c r="C311" s="425"/>
      <c r="D311" s="476"/>
      <c r="E311" s="479"/>
      <c r="F311" s="479"/>
      <c r="G311" s="479"/>
      <c r="H311" s="479"/>
      <c r="I311" s="479"/>
      <c r="J311" s="479"/>
      <c r="K311" s="479"/>
      <c r="L311" s="150">
        <v>285</v>
      </c>
      <c r="M311" s="130" t="s">
        <v>28</v>
      </c>
      <c r="N311" s="125" t="s">
        <v>283</v>
      </c>
      <c r="O311" s="126" t="s">
        <v>132</v>
      </c>
      <c r="P311" s="121" t="s">
        <v>137</v>
      </c>
      <c r="R311" s="118"/>
      <c r="S311" s="118"/>
      <c r="T311" s="118"/>
      <c r="U311" s="118"/>
      <c r="V311" s="118"/>
      <c r="W311" s="118"/>
      <c r="X311" s="118"/>
    </row>
    <row r="312" spans="1:24">
      <c r="A312" s="428"/>
      <c r="B312" s="431"/>
      <c r="C312" s="425"/>
      <c r="D312" s="476"/>
      <c r="E312" s="479"/>
      <c r="F312" s="479"/>
      <c r="G312" s="479"/>
      <c r="H312" s="479"/>
      <c r="I312" s="479"/>
      <c r="J312" s="479"/>
      <c r="K312" s="479"/>
      <c r="L312" s="150">
        <v>286</v>
      </c>
      <c r="M312" s="125" t="s">
        <v>28</v>
      </c>
      <c r="N312" s="128"/>
      <c r="O312" s="126"/>
      <c r="P312" s="137"/>
      <c r="R312" s="118"/>
      <c r="S312" s="118"/>
      <c r="T312" s="118"/>
      <c r="U312" s="118"/>
      <c r="V312" s="118"/>
      <c r="W312" s="118"/>
      <c r="X312" s="118"/>
    </row>
    <row r="313" spans="1:24">
      <c r="A313" s="428"/>
      <c r="B313" s="431"/>
      <c r="C313" s="425"/>
      <c r="D313" s="476"/>
      <c r="E313" s="479"/>
      <c r="F313" s="479"/>
      <c r="G313" s="479"/>
      <c r="H313" s="479"/>
      <c r="I313" s="479"/>
      <c r="J313" s="479"/>
      <c r="K313" s="479"/>
      <c r="L313" s="150">
        <v>287</v>
      </c>
      <c r="M313" s="130" t="s">
        <v>28</v>
      </c>
      <c r="N313" s="128"/>
      <c r="O313" s="126"/>
      <c r="P313" s="137"/>
    </row>
    <row r="314" spans="1:24">
      <c r="A314" s="428"/>
      <c r="B314" s="431"/>
      <c r="C314" s="425"/>
      <c r="D314" s="476"/>
      <c r="E314" s="479"/>
      <c r="F314" s="479"/>
      <c r="G314" s="479"/>
      <c r="H314" s="479"/>
      <c r="I314" s="479"/>
      <c r="J314" s="479"/>
      <c r="K314" s="479"/>
      <c r="L314" s="150">
        <v>288</v>
      </c>
      <c r="M314" s="125" t="s">
        <v>28</v>
      </c>
      <c r="N314" s="128"/>
      <c r="O314" s="126"/>
      <c r="P314" s="137"/>
    </row>
    <row r="315" spans="1:24">
      <c r="A315" s="428"/>
      <c r="B315" s="431"/>
      <c r="C315" s="425"/>
      <c r="D315" s="476"/>
      <c r="E315" s="479"/>
      <c r="F315" s="479"/>
      <c r="G315" s="479"/>
      <c r="H315" s="479"/>
      <c r="I315" s="479"/>
      <c r="J315" s="479"/>
      <c r="K315" s="479"/>
      <c r="L315" s="150">
        <v>289</v>
      </c>
      <c r="M315" s="130" t="s">
        <v>28</v>
      </c>
      <c r="N315" s="128"/>
      <c r="O315" s="126"/>
      <c r="P315" s="137"/>
    </row>
    <row r="316" spans="1:24" ht="15.75" thickBot="1">
      <c r="A316" s="428"/>
      <c r="B316" s="431"/>
      <c r="C316" s="426"/>
      <c r="D316" s="477"/>
      <c r="E316" s="480"/>
      <c r="F316" s="480"/>
      <c r="G316" s="480"/>
      <c r="H316" s="480"/>
      <c r="I316" s="480"/>
      <c r="J316" s="480"/>
      <c r="K316" s="480"/>
      <c r="L316" s="151">
        <v>290</v>
      </c>
      <c r="M316" s="138" t="s">
        <v>28</v>
      </c>
      <c r="N316" s="148"/>
      <c r="O316" s="139"/>
      <c r="P316" s="140"/>
    </row>
    <row r="317" spans="1:24">
      <c r="A317" s="428"/>
      <c r="B317" s="431"/>
      <c r="C317" s="424" t="str">
        <f>'Step 1 - System Definition'!O23</f>
        <v>Cell Modem</v>
      </c>
      <c r="D317" s="475" t="str">
        <f>'Step 5 - Mitigation Analysis'!F25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317" s="478" t="str">
        <f>'Step 5 - Mitigation Analysis'!I25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317" s="478" t="str">
        <f>'Step 5 - Mitigation Analysis'!L25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317" s="478" t="str">
        <f>'Step 5 - Mitigation Analysis'!O25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317" s="478" t="str">
        <f>'Step 5 - Mitigation Analysis'!R25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317" s="478" t="str">
        <f>'Step 5 - Mitigation Analysis'!U25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317" s="478" t="str">
        <f>'Step 5 - Mitigation Analysis'!X25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317" s="478" t="str">
        <f>'Step 5 - Mitigation Analysis'!AA25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317" s="149">
        <v>291</v>
      </c>
      <c r="M317" s="134" t="s">
        <v>28</v>
      </c>
      <c r="N317" s="147"/>
      <c r="O317" s="135"/>
      <c r="P317" s="136"/>
    </row>
    <row r="318" spans="1:24">
      <c r="A318" s="428"/>
      <c r="B318" s="431"/>
      <c r="C318" s="425"/>
      <c r="D318" s="476"/>
      <c r="E318" s="479"/>
      <c r="F318" s="479"/>
      <c r="G318" s="479"/>
      <c r="H318" s="479"/>
      <c r="I318" s="479"/>
      <c r="J318" s="479"/>
      <c r="K318" s="479"/>
      <c r="L318" s="150">
        <v>292</v>
      </c>
      <c r="M318" s="125" t="s">
        <v>28</v>
      </c>
      <c r="N318" s="128"/>
      <c r="O318" s="126"/>
      <c r="P318" s="137"/>
    </row>
    <row r="319" spans="1:24">
      <c r="A319" s="428"/>
      <c r="B319" s="431"/>
      <c r="C319" s="425"/>
      <c r="D319" s="476"/>
      <c r="E319" s="479"/>
      <c r="F319" s="479"/>
      <c r="G319" s="479"/>
      <c r="H319" s="479"/>
      <c r="I319" s="479"/>
      <c r="J319" s="479"/>
      <c r="K319" s="479"/>
      <c r="L319" s="150">
        <v>293</v>
      </c>
      <c r="M319" s="130" t="s">
        <v>28</v>
      </c>
      <c r="N319" s="128"/>
      <c r="O319" s="126"/>
      <c r="P319" s="137"/>
    </row>
    <row r="320" spans="1:24">
      <c r="A320" s="428"/>
      <c r="B320" s="431"/>
      <c r="C320" s="425"/>
      <c r="D320" s="476"/>
      <c r="E320" s="479"/>
      <c r="F320" s="479"/>
      <c r="G320" s="479"/>
      <c r="H320" s="479"/>
      <c r="I320" s="479"/>
      <c r="J320" s="479"/>
      <c r="K320" s="479"/>
      <c r="L320" s="150">
        <v>294</v>
      </c>
      <c r="M320" s="125" t="s">
        <v>28</v>
      </c>
      <c r="N320" s="128"/>
      <c r="O320" s="126"/>
      <c r="P320" s="137"/>
    </row>
    <row r="321" spans="1:16">
      <c r="A321" s="428"/>
      <c r="B321" s="431"/>
      <c r="C321" s="425"/>
      <c r="D321" s="476"/>
      <c r="E321" s="479"/>
      <c r="F321" s="479"/>
      <c r="G321" s="479"/>
      <c r="H321" s="479"/>
      <c r="I321" s="479"/>
      <c r="J321" s="479"/>
      <c r="K321" s="479"/>
      <c r="L321" s="150">
        <v>295</v>
      </c>
      <c r="M321" s="130" t="s">
        <v>28</v>
      </c>
      <c r="N321" s="128"/>
      <c r="O321" s="126"/>
      <c r="P321" s="137"/>
    </row>
    <row r="322" spans="1:16" ht="24">
      <c r="A322" s="428"/>
      <c r="B322" s="431"/>
      <c r="C322" s="425"/>
      <c r="D322" s="476"/>
      <c r="E322" s="479"/>
      <c r="F322" s="479"/>
      <c r="G322" s="479"/>
      <c r="H322" s="479"/>
      <c r="I322" s="479"/>
      <c r="J322" s="479"/>
      <c r="K322" s="479"/>
      <c r="L322" s="150">
        <v>296</v>
      </c>
      <c r="M322" s="125" t="s">
        <v>28</v>
      </c>
      <c r="N322" s="125" t="s">
        <v>283</v>
      </c>
      <c r="O322" s="126" t="s">
        <v>132</v>
      </c>
      <c r="P322" s="121" t="s">
        <v>138</v>
      </c>
    </row>
    <row r="323" spans="1:16">
      <c r="A323" s="428"/>
      <c r="B323" s="431"/>
      <c r="C323" s="425"/>
      <c r="D323" s="476"/>
      <c r="E323" s="479"/>
      <c r="F323" s="479"/>
      <c r="G323" s="479"/>
      <c r="H323" s="479"/>
      <c r="I323" s="479"/>
      <c r="J323" s="479"/>
      <c r="K323" s="479"/>
      <c r="L323" s="150">
        <v>297</v>
      </c>
      <c r="M323" s="130" t="s">
        <v>28</v>
      </c>
      <c r="N323" s="128"/>
      <c r="O323" s="126"/>
      <c r="P323" s="137"/>
    </row>
    <row r="324" spans="1:16">
      <c r="A324" s="428"/>
      <c r="B324" s="431"/>
      <c r="C324" s="425"/>
      <c r="D324" s="476"/>
      <c r="E324" s="479"/>
      <c r="F324" s="479"/>
      <c r="G324" s="479"/>
      <c r="H324" s="479"/>
      <c r="I324" s="479"/>
      <c r="J324" s="479"/>
      <c r="K324" s="479"/>
      <c r="L324" s="150">
        <v>298</v>
      </c>
      <c r="M324" s="125" t="s">
        <v>28</v>
      </c>
      <c r="N324" s="128"/>
      <c r="O324" s="126"/>
      <c r="P324" s="137"/>
    </row>
    <row r="325" spans="1:16">
      <c r="A325" s="428"/>
      <c r="B325" s="431"/>
      <c r="C325" s="425"/>
      <c r="D325" s="476"/>
      <c r="E325" s="479"/>
      <c r="F325" s="479"/>
      <c r="G325" s="479"/>
      <c r="H325" s="479"/>
      <c r="I325" s="479"/>
      <c r="J325" s="479"/>
      <c r="K325" s="479"/>
      <c r="L325" s="150">
        <v>299</v>
      </c>
      <c r="M325" s="130" t="s">
        <v>28</v>
      </c>
      <c r="N325" s="128"/>
      <c r="O325" s="126"/>
      <c r="P325" s="137"/>
    </row>
    <row r="326" spans="1:16" ht="15.75" thickBot="1">
      <c r="A326" s="428"/>
      <c r="B326" s="431"/>
      <c r="C326" s="426"/>
      <c r="D326" s="477"/>
      <c r="E326" s="480"/>
      <c r="F326" s="480"/>
      <c r="G326" s="480"/>
      <c r="H326" s="480"/>
      <c r="I326" s="480"/>
      <c r="J326" s="480"/>
      <c r="K326" s="480"/>
      <c r="L326" s="151">
        <v>300</v>
      </c>
      <c r="M326" s="138" t="s">
        <v>28</v>
      </c>
      <c r="N326" s="148"/>
      <c r="O326" s="139"/>
      <c r="P326" s="140"/>
    </row>
    <row r="327" spans="1:16" ht="30">
      <c r="A327" s="428"/>
      <c r="B327" s="431" t="s">
        <v>22</v>
      </c>
      <c r="C327" s="424" t="str">
        <f>'Step 1 - System Definition'!O24</f>
        <v>Fuses(s)</v>
      </c>
      <c r="D327" s="475" t="str">
        <f>'Step 5 - Mitigation Analysis'!F26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327" s="478" t="str">
        <f>'Step 5 - Mitigation Analysis'!I26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327" s="478" t="str">
        <f>'Step 5 - Mitigation Analysis'!L26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327" s="478" t="str">
        <f>'Step 5 - Mitigation Analysis'!O26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327" s="478" t="str">
        <f>'Step 5 - Mitigation Analysis'!R26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327" s="478" t="str">
        <f>'Step 5 - Mitigation Analysis'!U26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327" s="478" t="str">
        <f>'Step 5 - Mitigation Analysis'!X26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327" s="478" t="str">
        <f>'Step 5 - Mitigation Analysis'!AA26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327" s="149">
        <v>301</v>
      </c>
      <c r="M327" s="134" t="s">
        <v>28</v>
      </c>
      <c r="N327" s="134" t="s">
        <v>283</v>
      </c>
      <c r="O327" s="144" t="s">
        <v>118</v>
      </c>
      <c r="P327" s="136" t="s">
        <v>127</v>
      </c>
    </row>
    <row r="328" spans="1:16">
      <c r="A328" s="428"/>
      <c r="B328" s="431"/>
      <c r="C328" s="425"/>
      <c r="D328" s="476"/>
      <c r="E328" s="479"/>
      <c r="F328" s="479"/>
      <c r="G328" s="479"/>
      <c r="H328" s="479"/>
      <c r="I328" s="479"/>
      <c r="J328" s="479"/>
      <c r="K328" s="479"/>
      <c r="L328" s="150">
        <v>302</v>
      </c>
      <c r="M328" s="125" t="s">
        <v>28</v>
      </c>
      <c r="N328" s="128"/>
      <c r="O328" s="126"/>
      <c r="P328" s="137"/>
    </row>
    <row r="329" spans="1:16">
      <c r="A329" s="428"/>
      <c r="B329" s="431"/>
      <c r="C329" s="425"/>
      <c r="D329" s="476"/>
      <c r="E329" s="479"/>
      <c r="F329" s="479"/>
      <c r="G329" s="479"/>
      <c r="H329" s="479"/>
      <c r="I329" s="479"/>
      <c r="J329" s="479"/>
      <c r="K329" s="479"/>
      <c r="L329" s="150">
        <v>303</v>
      </c>
      <c r="M329" s="130" t="s">
        <v>28</v>
      </c>
      <c r="N329" s="128"/>
      <c r="O329" s="126"/>
      <c r="P329" s="137"/>
    </row>
    <row r="330" spans="1:16">
      <c r="A330" s="428"/>
      <c r="B330" s="431"/>
      <c r="C330" s="425"/>
      <c r="D330" s="476"/>
      <c r="E330" s="479"/>
      <c r="F330" s="479"/>
      <c r="G330" s="479"/>
      <c r="H330" s="479"/>
      <c r="I330" s="479"/>
      <c r="J330" s="479"/>
      <c r="K330" s="479"/>
      <c r="L330" s="150">
        <v>304</v>
      </c>
      <c r="M330" s="125" t="s">
        <v>28</v>
      </c>
      <c r="N330" s="128"/>
      <c r="O330" s="126"/>
      <c r="P330" s="137"/>
    </row>
    <row r="331" spans="1:16">
      <c r="A331" s="428"/>
      <c r="B331" s="431"/>
      <c r="C331" s="425"/>
      <c r="D331" s="476"/>
      <c r="E331" s="479"/>
      <c r="F331" s="479"/>
      <c r="G331" s="479"/>
      <c r="H331" s="479"/>
      <c r="I331" s="479"/>
      <c r="J331" s="479"/>
      <c r="K331" s="479"/>
      <c r="L331" s="150">
        <v>305</v>
      </c>
      <c r="M331" s="130" t="s">
        <v>28</v>
      </c>
      <c r="N331" s="128"/>
      <c r="O331" s="126"/>
      <c r="P331" s="137"/>
    </row>
    <row r="332" spans="1:16">
      <c r="A332" s="428"/>
      <c r="B332" s="431"/>
      <c r="C332" s="425"/>
      <c r="D332" s="476"/>
      <c r="E332" s="479"/>
      <c r="F332" s="479"/>
      <c r="G332" s="479"/>
      <c r="H332" s="479"/>
      <c r="I332" s="479"/>
      <c r="J332" s="479"/>
      <c r="K332" s="479"/>
      <c r="L332" s="150">
        <v>306</v>
      </c>
      <c r="M332" s="125" t="s">
        <v>28</v>
      </c>
      <c r="N332" s="128"/>
      <c r="O332" s="126"/>
      <c r="P332" s="137"/>
    </row>
    <row r="333" spans="1:16" ht="15.75" thickBot="1">
      <c r="A333" s="428"/>
      <c r="B333" s="431"/>
      <c r="C333" s="426"/>
      <c r="D333" s="477"/>
      <c r="E333" s="480"/>
      <c r="F333" s="480"/>
      <c r="G333" s="480"/>
      <c r="H333" s="480"/>
      <c r="I333" s="480"/>
      <c r="J333" s="480"/>
      <c r="K333" s="480"/>
      <c r="L333" s="151">
        <v>307</v>
      </c>
      <c r="M333" s="290" t="s">
        <v>28</v>
      </c>
      <c r="N333" s="148"/>
      <c r="O333" s="139"/>
      <c r="P333" s="140"/>
    </row>
    <row r="334" spans="1:16">
      <c r="A334" s="428"/>
      <c r="B334" s="431"/>
      <c r="C334" s="424" t="str">
        <f>'Step 1 - System Definition'!O25</f>
        <v>AC Circuit Breaker(s)</v>
      </c>
      <c r="D334" s="475" t="str">
        <f>'Step 5 - Mitigation Analysis'!F27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334" s="478" t="str">
        <f>'Step 5 - Mitigation Analysis'!I27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334" s="478" t="str">
        <f>'Step 5 - Mitigation Analysis'!L27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334" s="478" t="str">
        <f>'Step 5 - Mitigation Analysis'!O27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334" s="478" t="str">
        <f>'Step 5 - Mitigation Analysis'!R27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334" s="478" t="str">
        <f>'Step 5 - Mitigation Analysis'!U27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334" s="478" t="str">
        <f>'Step 5 - Mitigation Analysis'!X27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334" s="478" t="str">
        <f>'Step 5 - Mitigation Analysis'!AA27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334" s="149">
        <v>308</v>
      </c>
      <c r="M334" s="134" t="s">
        <v>28</v>
      </c>
      <c r="N334" s="147"/>
      <c r="O334" s="135"/>
      <c r="P334" s="136"/>
    </row>
    <row r="335" spans="1:16">
      <c r="A335" s="428"/>
      <c r="B335" s="431"/>
      <c r="C335" s="425"/>
      <c r="D335" s="476"/>
      <c r="E335" s="479"/>
      <c r="F335" s="479"/>
      <c r="G335" s="479"/>
      <c r="H335" s="479"/>
      <c r="I335" s="479"/>
      <c r="J335" s="479"/>
      <c r="K335" s="479"/>
      <c r="L335" s="150">
        <v>309</v>
      </c>
      <c r="M335" s="130" t="s">
        <v>28</v>
      </c>
      <c r="N335" s="128"/>
      <c r="O335" s="126"/>
      <c r="P335" s="137"/>
    </row>
    <row r="336" spans="1:16">
      <c r="A336" s="428"/>
      <c r="B336" s="431"/>
      <c r="C336" s="425"/>
      <c r="D336" s="476"/>
      <c r="E336" s="479"/>
      <c r="F336" s="479"/>
      <c r="G336" s="479"/>
      <c r="H336" s="479"/>
      <c r="I336" s="479"/>
      <c r="J336" s="479"/>
      <c r="K336" s="479"/>
      <c r="L336" s="150">
        <v>310</v>
      </c>
      <c r="M336" s="125" t="s">
        <v>28</v>
      </c>
      <c r="N336" s="128"/>
      <c r="O336" s="126"/>
      <c r="P336" s="137"/>
    </row>
    <row r="337" spans="1:16">
      <c r="A337" s="428"/>
      <c r="B337" s="431"/>
      <c r="C337" s="425"/>
      <c r="D337" s="476"/>
      <c r="E337" s="479"/>
      <c r="F337" s="479"/>
      <c r="G337" s="479"/>
      <c r="H337" s="479"/>
      <c r="I337" s="479"/>
      <c r="J337" s="479"/>
      <c r="K337" s="479"/>
      <c r="L337" s="150">
        <v>311</v>
      </c>
      <c r="M337" s="130" t="s">
        <v>28</v>
      </c>
      <c r="N337" s="128"/>
      <c r="O337" s="126"/>
      <c r="P337" s="137"/>
    </row>
    <row r="338" spans="1:16">
      <c r="A338" s="428"/>
      <c r="B338" s="431"/>
      <c r="C338" s="425"/>
      <c r="D338" s="476"/>
      <c r="E338" s="479"/>
      <c r="F338" s="479"/>
      <c r="G338" s="479"/>
      <c r="H338" s="479"/>
      <c r="I338" s="479"/>
      <c r="J338" s="479"/>
      <c r="K338" s="479"/>
      <c r="L338" s="150">
        <v>312</v>
      </c>
      <c r="M338" s="125" t="s">
        <v>28</v>
      </c>
      <c r="N338" s="128"/>
      <c r="O338" s="126"/>
      <c r="P338" s="137"/>
    </row>
    <row r="339" spans="1:16">
      <c r="A339" s="428"/>
      <c r="B339" s="431"/>
      <c r="C339" s="425"/>
      <c r="D339" s="476"/>
      <c r="E339" s="479"/>
      <c r="F339" s="479"/>
      <c r="G339" s="479"/>
      <c r="H339" s="479"/>
      <c r="I339" s="479"/>
      <c r="J339" s="479"/>
      <c r="K339" s="479"/>
      <c r="L339" s="150">
        <v>313</v>
      </c>
      <c r="M339" s="130" t="s">
        <v>28</v>
      </c>
      <c r="N339" s="128"/>
      <c r="O339" s="126"/>
      <c r="P339" s="137"/>
    </row>
    <row r="340" spans="1:16" ht="15.75" thickBot="1">
      <c r="A340" s="428"/>
      <c r="B340" s="431"/>
      <c r="C340" s="426"/>
      <c r="D340" s="477"/>
      <c r="E340" s="480"/>
      <c r="F340" s="480"/>
      <c r="G340" s="480"/>
      <c r="H340" s="480"/>
      <c r="I340" s="480"/>
      <c r="J340" s="480"/>
      <c r="K340" s="480"/>
      <c r="L340" s="151">
        <v>314</v>
      </c>
      <c r="M340" s="138" t="s">
        <v>28</v>
      </c>
      <c r="N340" s="148"/>
      <c r="O340" s="139"/>
      <c r="P340" s="140"/>
    </row>
    <row r="341" spans="1:16">
      <c r="A341" s="428"/>
      <c r="B341" s="431"/>
      <c r="C341" s="424" t="str">
        <f>'Step 1 - System Definition'!O26</f>
        <v>Control Power Transformer</v>
      </c>
      <c r="D341" s="475" t="str">
        <f>'Step 5 - Mitigation Analysis'!F28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341" s="478" t="str">
        <f>'Step 5 - Mitigation Analysis'!I28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341" s="478" t="str">
        <f>'Step 5 - Mitigation Analysis'!L28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341" s="478" t="str">
        <f>'Step 5 - Mitigation Analysis'!O28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341" s="478" t="str">
        <f>'Step 5 - Mitigation Analysis'!R28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341" s="478" t="str">
        <f>'Step 5 - Mitigation Analysis'!U28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341" s="478" t="str">
        <f>'Step 5 - Mitigation Analysis'!X28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341" s="478" t="str">
        <f>'Step 5 - Mitigation Analysis'!AA28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341" s="149">
        <v>315</v>
      </c>
      <c r="M341" s="134" t="s">
        <v>28</v>
      </c>
      <c r="N341" s="134" t="s">
        <v>283</v>
      </c>
      <c r="O341" s="144" t="s">
        <v>118</v>
      </c>
      <c r="P341" s="136" t="s">
        <v>122</v>
      </c>
    </row>
    <row r="342" spans="1:16">
      <c r="A342" s="428"/>
      <c r="B342" s="431"/>
      <c r="C342" s="425"/>
      <c r="D342" s="476"/>
      <c r="E342" s="479"/>
      <c r="F342" s="479"/>
      <c r="G342" s="479"/>
      <c r="H342" s="479"/>
      <c r="I342" s="479"/>
      <c r="J342" s="479"/>
      <c r="K342" s="479"/>
      <c r="L342" s="150">
        <v>316</v>
      </c>
      <c r="M342" s="125" t="s">
        <v>28</v>
      </c>
      <c r="N342" s="128"/>
      <c r="O342" s="126"/>
      <c r="P342" s="137"/>
    </row>
    <row r="343" spans="1:16">
      <c r="A343" s="428"/>
      <c r="B343" s="431"/>
      <c r="C343" s="425"/>
      <c r="D343" s="476"/>
      <c r="E343" s="479"/>
      <c r="F343" s="479"/>
      <c r="G343" s="479"/>
      <c r="H343" s="479"/>
      <c r="I343" s="479"/>
      <c r="J343" s="479"/>
      <c r="K343" s="479"/>
      <c r="L343" s="150">
        <v>317</v>
      </c>
      <c r="M343" s="130" t="s">
        <v>28</v>
      </c>
      <c r="N343" s="128"/>
      <c r="O343" s="126"/>
      <c r="P343" s="137"/>
    </row>
    <row r="344" spans="1:16">
      <c r="A344" s="428"/>
      <c r="B344" s="431"/>
      <c r="C344" s="425"/>
      <c r="D344" s="476"/>
      <c r="E344" s="479"/>
      <c r="F344" s="479"/>
      <c r="G344" s="479"/>
      <c r="H344" s="479"/>
      <c r="I344" s="479"/>
      <c r="J344" s="479"/>
      <c r="K344" s="479"/>
      <c r="L344" s="150">
        <v>318</v>
      </c>
      <c r="M344" s="125" t="s">
        <v>28</v>
      </c>
      <c r="N344" s="128"/>
      <c r="O344" s="126"/>
      <c r="P344" s="137"/>
    </row>
    <row r="345" spans="1:16">
      <c r="A345" s="428"/>
      <c r="B345" s="431"/>
      <c r="C345" s="425"/>
      <c r="D345" s="476"/>
      <c r="E345" s="479"/>
      <c r="F345" s="479"/>
      <c r="G345" s="479"/>
      <c r="H345" s="479"/>
      <c r="I345" s="479"/>
      <c r="J345" s="479"/>
      <c r="K345" s="479"/>
      <c r="L345" s="150">
        <v>319</v>
      </c>
      <c r="M345" s="130" t="s">
        <v>28</v>
      </c>
      <c r="N345" s="128"/>
      <c r="O345" s="126"/>
      <c r="P345" s="137"/>
    </row>
    <row r="346" spans="1:16">
      <c r="A346" s="428"/>
      <c r="B346" s="431"/>
      <c r="C346" s="425"/>
      <c r="D346" s="476"/>
      <c r="E346" s="479"/>
      <c r="F346" s="479"/>
      <c r="G346" s="479"/>
      <c r="H346" s="479"/>
      <c r="I346" s="479"/>
      <c r="J346" s="479"/>
      <c r="K346" s="479"/>
      <c r="L346" s="150">
        <v>320</v>
      </c>
      <c r="M346" s="125" t="s">
        <v>28</v>
      </c>
      <c r="N346" s="128"/>
      <c r="O346" s="126"/>
      <c r="P346" s="137"/>
    </row>
    <row r="347" spans="1:16">
      <c r="A347" s="428"/>
      <c r="B347" s="431"/>
      <c r="C347" s="425"/>
      <c r="D347" s="476"/>
      <c r="E347" s="479"/>
      <c r="F347" s="479"/>
      <c r="G347" s="479"/>
      <c r="H347" s="479"/>
      <c r="I347" s="479"/>
      <c r="J347" s="479"/>
      <c r="K347" s="479"/>
      <c r="L347" s="150">
        <v>321</v>
      </c>
      <c r="M347" s="130" t="s">
        <v>28</v>
      </c>
      <c r="N347" s="128"/>
      <c r="O347" s="126"/>
      <c r="P347" s="137"/>
    </row>
    <row r="348" spans="1:16" ht="15.75" thickBot="1">
      <c r="A348" s="428"/>
      <c r="B348" s="431"/>
      <c r="C348" s="426"/>
      <c r="D348" s="477"/>
      <c r="E348" s="480"/>
      <c r="F348" s="480"/>
      <c r="G348" s="480"/>
      <c r="H348" s="480"/>
      <c r="I348" s="480"/>
      <c r="J348" s="480"/>
      <c r="K348" s="480"/>
      <c r="L348" s="151">
        <v>322</v>
      </c>
      <c r="M348" s="138" t="s">
        <v>28</v>
      </c>
      <c r="N348" s="148"/>
      <c r="O348" s="139"/>
      <c r="P348" s="140"/>
    </row>
    <row r="349" spans="1:16">
      <c r="A349" s="428"/>
      <c r="B349" s="431"/>
      <c r="C349" s="424" t="str">
        <f>'Step 1 - System Definition'!O27</f>
        <v>Local Power Level Transformer</v>
      </c>
      <c r="D349" s="475" t="str">
        <f>'Step 5 - Mitigation Analysis'!F29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349" s="478" t="str">
        <f>'Step 5 - Mitigation Analysis'!I29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349" s="478" t="str">
        <f>'Step 5 - Mitigation Analysis'!L29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349" s="478" t="str">
        <f>'Step 5 - Mitigation Analysis'!O29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349" s="478" t="str">
        <f>'Step 5 - Mitigation Analysis'!R29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349" s="478" t="str">
        <f>'Step 5 - Mitigation Analysis'!U29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349" s="478" t="str">
        <f>'Step 5 - Mitigation Analysis'!X29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349" s="478" t="str">
        <f>'Step 5 - Mitigation Analysis'!AA29</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349" s="149">
        <v>323</v>
      </c>
      <c r="M349" s="134" t="s">
        <v>28</v>
      </c>
      <c r="N349" s="134" t="s">
        <v>283</v>
      </c>
      <c r="O349" s="144" t="s">
        <v>118</v>
      </c>
      <c r="P349" s="136" t="s">
        <v>122</v>
      </c>
    </row>
    <row r="350" spans="1:16" ht="45">
      <c r="A350" s="428"/>
      <c r="B350" s="431"/>
      <c r="C350" s="425"/>
      <c r="D350" s="476"/>
      <c r="E350" s="479"/>
      <c r="F350" s="479"/>
      <c r="G350" s="479"/>
      <c r="H350" s="479"/>
      <c r="I350" s="479"/>
      <c r="J350" s="479"/>
      <c r="K350" s="479"/>
      <c r="L350" s="150">
        <v>324</v>
      </c>
      <c r="M350" s="125" t="s">
        <v>28</v>
      </c>
      <c r="N350" s="125" t="s">
        <v>283</v>
      </c>
      <c r="O350" s="126" t="s">
        <v>118</v>
      </c>
      <c r="P350" s="137" t="s">
        <v>128</v>
      </c>
    </row>
    <row r="351" spans="1:16" ht="45">
      <c r="A351" s="428"/>
      <c r="B351" s="431"/>
      <c r="C351" s="425"/>
      <c r="D351" s="476"/>
      <c r="E351" s="479"/>
      <c r="F351" s="479"/>
      <c r="G351" s="479"/>
      <c r="H351" s="479"/>
      <c r="I351" s="479"/>
      <c r="J351" s="479"/>
      <c r="K351" s="479"/>
      <c r="L351" s="150">
        <v>325</v>
      </c>
      <c r="M351" s="130" t="s">
        <v>28</v>
      </c>
      <c r="N351" s="125" t="s">
        <v>283</v>
      </c>
      <c r="O351" s="126" t="s">
        <v>118</v>
      </c>
      <c r="P351" s="137" t="s">
        <v>129</v>
      </c>
    </row>
    <row r="352" spans="1:16" ht="45">
      <c r="A352" s="428"/>
      <c r="B352" s="431"/>
      <c r="C352" s="425"/>
      <c r="D352" s="476"/>
      <c r="E352" s="479"/>
      <c r="F352" s="479"/>
      <c r="G352" s="479"/>
      <c r="H352" s="479"/>
      <c r="I352" s="479"/>
      <c r="J352" s="479"/>
      <c r="K352" s="479"/>
      <c r="L352" s="150">
        <v>326</v>
      </c>
      <c r="M352" s="125" t="s">
        <v>28</v>
      </c>
      <c r="N352" s="125" t="s">
        <v>283</v>
      </c>
      <c r="O352" s="126" t="s">
        <v>118</v>
      </c>
      <c r="P352" s="137" t="s">
        <v>353</v>
      </c>
    </row>
    <row r="353" spans="1:16">
      <c r="A353" s="428"/>
      <c r="B353" s="431"/>
      <c r="C353" s="425"/>
      <c r="D353" s="476"/>
      <c r="E353" s="479"/>
      <c r="F353" s="479"/>
      <c r="G353" s="479"/>
      <c r="H353" s="479"/>
      <c r="I353" s="479"/>
      <c r="J353" s="479"/>
      <c r="K353" s="479"/>
      <c r="L353" s="150">
        <v>327</v>
      </c>
      <c r="M353" s="130" t="s">
        <v>28</v>
      </c>
      <c r="N353" s="128"/>
      <c r="O353" s="126"/>
      <c r="P353" s="137"/>
    </row>
    <row r="354" spans="1:16">
      <c r="A354" s="428"/>
      <c r="B354" s="431"/>
      <c r="C354" s="425"/>
      <c r="D354" s="476"/>
      <c r="E354" s="479"/>
      <c r="F354" s="479"/>
      <c r="G354" s="479"/>
      <c r="H354" s="479"/>
      <c r="I354" s="479"/>
      <c r="J354" s="479"/>
      <c r="K354" s="479"/>
      <c r="L354" s="150">
        <v>328</v>
      </c>
      <c r="M354" s="125" t="s">
        <v>28</v>
      </c>
      <c r="N354" s="128"/>
      <c r="O354" s="126"/>
      <c r="P354" s="137"/>
    </row>
    <row r="355" spans="1:16">
      <c r="A355" s="428"/>
      <c r="B355" s="431"/>
      <c r="C355" s="425"/>
      <c r="D355" s="476"/>
      <c r="E355" s="479"/>
      <c r="F355" s="479"/>
      <c r="G355" s="479"/>
      <c r="H355" s="479"/>
      <c r="I355" s="479"/>
      <c r="J355" s="479"/>
      <c r="K355" s="479"/>
      <c r="L355" s="150">
        <v>329</v>
      </c>
      <c r="M355" s="130" t="s">
        <v>28</v>
      </c>
      <c r="N355" s="128"/>
      <c r="O355" s="126"/>
      <c r="P355" s="137"/>
    </row>
    <row r="356" spans="1:16">
      <c r="A356" s="428"/>
      <c r="B356" s="431"/>
      <c r="C356" s="425"/>
      <c r="D356" s="476"/>
      <c r="E356" s="479"/>
      <c r="F356" s="479"/>
      <c r="G356" s="479"/>
      <c r="H356" s="479"/>
      <c r="I356" s="479"/>
      <c r="J356" s="479"/>
      <c r="K356" s="479"/>
      <c r="L356" s="150">
        <v>330</v>
      </c>
      <c r="M356" s="125" t="s">
        <v>28</v>
      </c>
      <c r="N356" s="128"/>
      <c r="O356" s="126"/>
      <c r="P356" s="137"/>
    </row>
    <row r="357" spans="1:16" ht="15.75" thickBot="1">
      <c r="A357" s="428"/>
      <c r="B357" s="431"/>
      <c r="C357" s="426"/>
      <c r="D357" s="477"/>
      <c r="E357" s="480"/>
      <c r="F357" s="480"/>
      <c r="G357" s="480"/>
      <c r="H357" s="480"/>
      <c r="I357" s="480"/>
      <c r="J357" s="480"/>
      <c r="K357" s="480"/>
      <c r="L357" s="151">
        <v>331</v>
      </c>
      <c r="M357" s="290" t="s">
        <v>28</v>
      </c>
      <c r="N357" s="148"/>
      <c r="O357" s="139"/>
      <c r="P357" s="140"/>
    </row>
    <row r="358" spans="1:16">
      <c r="A358" s="428"/>
      <c r="B358" s="431"/>
      <c r="C358" s="424" t="str">
        <f>'Step 1 - System Definition'!O28</f>
        <v>Utility Power Level Transformer</v>
      </c>
      <c r="D358" s="475" t="str">
        <f>'Step 5 - Mitigation Analysis'!F30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358" s="478" t="str">
        <f>'Step 5 - Mitigation Analysis'!I30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358" s="478" t="str">
        <f>'Step 5 - Mitigation Analysis'!L30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358" s="478" t="str">
        <f>'Step 5 - Mitigation Analysis'!O30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358" s="478" t="str">
        <f>'Step 5 - Mitigation Analysis'!R30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358" s="478" t="str">
        <f>'Step 5 - Mitigation Analysis'!U30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358" s="478" t="str">
        <f>'Step 5 - Mitigation Analysis'!X30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358" s="478" t="str">
        <f>'Step 5 - Mitigation Analysis'!AA30</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358" s="149">
        <v>332</v>
      </c>
      <c r="M358" s="134" t="s">
        <v>28</v>
      </c>
      <c r="N358" s="134" t="s">
        <v>283</v>
      </c>
      <c r="O358" s="144" t="s">
        <v>118</v>
      </c>
      <c r="P358" s="136" t="s">
        <v>122</v>
      </c>
    </row>
    <row r="359" spans="1:16" ht="45">
      <c r="A359" s="428"/>
      <c r="B359" s="431"/>
      <c r="C359" s="425"/>
      <c r="D359" s="476"/>
      <c r="E359" s="479"/>
      <c r="F359" s="479"/>
      <c r="G359" s="479"/>
      <c r="H359" s="479"/>
      <c r="I359" s="479"/>
      <c r="J359" s="479"/>
      <c r="K359" s="479"/>
      <c r="L359" s="150">
        <v>333</v>
      </c>
      <c r="M359" s="130" t="s">
        <v>28</v>
      </c>
      <c r="N359" s="125" t="s">
        <v>283</v>
      </c>
      <c r="O359" s="126" t="s">
        <v>118</v>
      </c>
      <c r="P359" s="137" t="s">
        <v>128</v>
      </c>
    </row>
    <row r="360" spans="1:16" ht="45">
      <c r="A360" s="428"/>
      <c r="B360" s="431"/>
      <c r="C360" s="425"/>
      <c r="D360" s="476"/>
      <c r="E360" s="479"/>
      <c r="F360" s="479"/>
      <c r="G360" s="479"/>
      <c r="H360" s="479"/>
      <c r="I360" s="479"/>
      <c r="J360" s="479"/>
      <c r="K360" s="479"/>
      <c r="L360" s="150">
        <v>334</v>
      </c>
      <c r="M360" s="125" t="s">
        <v>28</v>
      </c>
      <c r="N360" s="125" t="s">
        <v>283</v>
      </c>
      <c r="O360" s="126" t="s">
        <v>118</v>
      </c>
      <c r="P360" s="137" t="s">
        <v>129</v>
      </c>
    </row>
    <row r="361" spans="1:16" ht="45">
      <c r="A361" s="428"/>
      <c r="B361" s="431"/>
      <c r="C361" s="425"/>
      <c r="D361" s="476"/>
      <c r="E361" s="479"/>
      <c r="F361" s="479"/>
      <c r="G361" s="479"/>
      <c r="H361" s="479"/>
      <c r="I361" s="479"/>
      <c r="J361" s="479"/>
      <c r="K361" s="479"/>
      <c r="L361" s="150">
        <v>335</v>
      </c>
      <c r="M361" s="130" t="s">
        <v>28</v>
      </c>
      <c r="N361" s="125" t="s">
        <v>283</v>
      </c>
      <c r="O361" s="126" t="s">
        <v>118</v>
      </c>
      <c r="P361" s="137" t="s">
        <v>353</v>
      </c>
    </row>
    <row r="362" spans="1:16">
      <c r="A362" s="428"/>
      <c r="B362" s="431"/>
      <c r="C362" s="425"/>
      <c r="D362" s="476"/>
      <c r="E362" s="479"/>
      <c r="F362" s="479"/>
      <c r="G362" s="479"/>
      <c r="H362" s="479"/>
      <c r="I362" s="479"/>
      <c r="J362" s="479"/>
      <c r="K362" s="479"/>
      <c r="L362" s="150">
        <v>336</v>
      </c>
      <c r="M362" s="125" t="s">
        <v>28</v>
      </c>
      <c r="N362" s="128"/>
      <c r="O362" s="126"/>
      <c r="P362" s="137"/>
    </row>
    <row r="363" spans="1:16">
      <c r="A363" s="428"/>
      <c r="B363" s="431"/>
      <c r="C363" s="425"/>
      <c r="D363" s="476"/>
      <c r="E363" s="479"/>
      <c r="F363" s="479"/>
      <c r="G363" s="479"/>
      <c r="H363" s="479"/>
      <c r="I363" s="479"/>
      <c r="J363" s="479"/>
      <c r="K363" s="479"/>
      <c r="L363" s="150">
        <v>337</v>
      </c>
      <c r="M363" s="130" t="s">
        <v>28</v>
      </c>
      <c r="N363" s="128"/>
      <c r="O363" s="126"/>
      <c r="P363" s="137"/>
    </row>
    <row r="364" spans="1:16">
      <c r="A364" s="428"/>
      <c r="B364" s="431"/>
      <c r="C364" s="425"/>
      <c r="D364" s="476"/>
      <c r="E364" s="479"/>
      <c r="F364" s="479"/>
      <c r="G364" s="479"/>
      <c r="H364" s="479"/>
      <c r="I364" s="479"/>
      <c r="J364" s="479"/>
      <c r="K364" s="479"/>
      <c r="L364" s="150">
        <v>338</v>
      </c>
      <c r="M364" s="125" t="s">
        <v>28</v>
      </c>
      <c r="N364" s="128"/>
      <c r="O364" s="126"/>
      <c r="P364" s="137"/>
    </row>
    <row r="365" spans="1:16" ht="15.75" thickBot="1">
      <c r="A365" s="428"/>
      <c r="B365" s="431"/>
      <c r="C365" s="426"/>
      <c r="D365" s="477"/>
      <c r="E365" s="480"/>
      <c r="F365" s="480"/>
      <c r="G365" s="480"/>
      <c r="H365" s="480"/>
      <c r="I365" s="480"/>
      <c r="J365" s="480"/>
      <c r="K365" s="480"/>
      <c r="L365" s="151">
        <v>339</v>
      </c>
      <c r="M365" s="290" t="s">
        <v>28</v>
      </c>
      <c r="N365" s="148"/>
      <c r="O365" s="139"/>
      <c r="P365" s="140"/>
    </row>
    <row r="366" spans="1:16">
      <c r="A366" s="428"/>
      <c r="B366" s="431"/>
      <c r="C366" s="424" t="str">
        <f>'Step 1 - System Definition'!O29</f>
        <v>Local Power Level Switchgear</v>
      </c>
      <c r="D366" s="475" t="str">
        <f>'Step 5 - Mitigation Analysis'!F31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366" s="478" t="str">
        <f>'Step 5 - Mitigation Analysis'!I31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366" s="478" t="str">
        <f>'Step 5 - Mitigation Analysis'!L31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366" s="478" t="str">
        <f>'Step 5 - Mitigation Analysis'!O31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366" s="478" t="str">
        <f>'Step 5 - Mitigation Analysis'!R31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366" s="478" t="str">
        <f>'Step 5 - Mitigation Analysis'!U31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366" s="478" t="str">
        <f>'Step 5 - Mitigation Analysis'!X31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366" s="478" t="str">
        <f>'Step 5 - Mitigation Analysis'!AA31</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366" s="149">
        <v>340</v>
      </c>
      <c r="M366" s="134" t="s">
        <v>28</v>
      </c>
      <c r="N366" s="134" t="s">
        <v>283</v>
      </c>
      <c r="O366" s="144" t="s">
        <v>118</v>
      </c>
      <c r="P366" s="136" t="s">
        <v>434</v>
      </c>
    </row>
    <row r="367" spans="1:16" ht="30">
      <c r="A367" s="428"/>
      <c r="B367" s="431"/>
      <c r="C367" s="425"/>
      <c r="D367" s="476"/>
      <c r="E367" s="479"/>
      <c r="F367" s="479"/>
      <c r="G367" s="479"/>
      <c r="H367" s="479"/>
      <c r="I367" s="479"/>
      <c r="J367" s="479"/>
      <c r="K367" s="479"/>
      <c r="L367" s="150">
        <v>341</v>
      </c>
      <c r="M367" s="130" t="s">
        <v>28</v>
      </c>
      <c r="N367" s="125" t="s">
        <v>283</v>
      </c>
      <c r="O367" s="126" t="s">
        <v>118</v>
      </c>
      <c r="P367" s="137" t="s">
        <v>127</v>
      </c>
    </row>
    <row r="368" spans="1:16">
      <c r="A368" s="428"/>
      <c r="B368" s="431"/>
      <c r="C368" s="425"/>
      <c r="D368" s="476"/>
      <c r="E368" s="479"/>
      <c r="F368" s="479"/>
      <c r="G368" s="479"/>
      <c r="H368" s="479"/>
      <c r="I368" s="479"/>
      <c r="J368" s="479"/>
      <c r="K368" s="479"/>
      <c r="L368" s="150">
        <v>342</v>
      </c>
      <c r="M368" s="125" t="s">
        <v>28</v>
      </c>
      <c r="N368" s="128"/>
      <c r="O368" s="126"/>
      <c r="P368" s="137"/>
    </row>
    <row r="369" spans="1:16">
      <c r="A369" s="428"/>
      <c r="B369" s="431"/>
      <c r="C369" s="425"/>
      <c r="D369" s="476"/>
      <c r="E369" s="479"/>
      <c r="F369" s="479"/>
      <c r="G369" s="479"/>
      <c r="H369" s="479"/>
      <c r="I369" s="479"/>
      <c r="J369" s="479"/>
      <c r="K369" s="479"/>
      <c r="L369" s="150">
        <v>343</v>
      </c>
      <c r="M369" s="130" t="s">
        <v>28</v>
      </c>
      <c r="N369" s="128"/>
      <c r="O369" s="126"/>
      <c r="P369" s="137"/>
    </row>
    <row r="370" spans="1:16">
      <c r="A370" s="428"/>
      <c r="B370" s="431"/>
      <c r="C370" s="425"/>
      <c r="D370" s="476"/>
      <c r="E370" s="479"/>
      <c r="F370" s="479"/>
      <c r="G370" s="479"/>
      <c r="H370" s="479"/>
      <c r="I370" s="479"/>
      <c r="J370" s="479"/>
      <c r="K370" s="479"/>
      <c r="L370" s="150">
        <v>344</v>
      </c>
      <c r="M370" s="125" t="s">
        <v>28</v>
      </c>
      <c r="N370" s="128"/>
      <c r="O370" s="126"/>
      <c r="P370" s="137"/>
    </row>
    <row r="371" spans="1:16">
      <c r="A371" s="428"/>
      <c r="B371" s="431"/>
      <c r="C371" s="425"/>
      <c r="D371" s="476"/>
      <c r="E371" s="479"/>
      <c r="F371" s="479"/>
      <c r="G371" s="479"/>
      <c r="H371" s="479"/>
      <c r="I371" s="479"/>
      <c r="J371" s="479"/>
      <c r="K371" s="479"/>
      <c r="L371" s="150">
        <v>345</v>
      </c>
      <c r="M371" s="130" t="s">
        <v>28</v>
      </c>
      <c r="N371" s="128"/>
      <c r="O371" s="126"/>
      <c r="P371" s="137"/>
    </row>
    <row r="372" spans="1:16">
      <c r="A372" s="428"/>
      <c r="B372" s="431"/>
      <c r="C372" s="425"/>
      <c r="D372" s="476"/>
      <c r="E372" s="479"/>
      <c r="F372" s="479"/>
      <c r="G372" s="479"/>
      <c r="H372" s="479"/>
      <c r="I372" s="479"/>
      <c r="J372" s="479"/>
      <c r="K372" s="479"/>
      <c r="L372" s="150">
        <v>346</v>
      </c>
      <c r="M372" s="125" t="s">
        <v>28</v>
      </c>
      <c r="N372" s="128"/>
      <c r="O372" s="126"/>
      <c r="P372" s="137"/>
    </row>
    <row r="373" spans="1:16">
      <c r="A373" s="428"/>
      <c r="B373" s="431"/>
      <c r="C373" s="425"/>
      <c r="D373" s="476"/>
      <c r="E373" s="479"/>
      <c r="F373" s="479"/>
      <c r="G373" s="479"/>
      <c r="H373" s="479"/>
      <c r="I373" s="479"/>
      <c r="J373" s="479"/>
      <c r="K373" s="479"/>
      <c r="L373" s="150">
        <v>347</v>
      </c>
      <c r="M373" s="130" t="s">
        <v>28</v>
      </c>
      <c r="N373" s="128"/>
      <c r="O373" s="126"/>
      <c r="P373" s="137"/>
    </row>
    <row r="374" spans="1:16" ht="15.75" thickBot="1">
      <c r="A374" s="428"/>
      <c r="B374" s="431"/>
      <c r="C374" s="426"/>
      <c r="D374" s="477"/>
      <c r="E374" s="480"/>
      <c r="F374" s="480"/>
      <c r="G374" s="480"/>
      <c r="H374" s="480"/>
      <c r="I374" s="480"/>
      <c r="J374" s="480"/>
      <c r="K374" s="480"/>
      <c r="L374" s="151">
        <v>348</v>
      </c>
      <c r="M374" s="138" t="s">
        <v>28</v>
      </c>
      <c r="N374" s="148"/>
      <c r="O374" s="139"/>
      <c r="P374" s="140"/>
    </row>
    <row r="375" spans="1:16">
      <c r="A375" s="428"/>
      <c r="B375" s="431"/>
      <c r="C375" s="424" t="str">
        <f>'Step 1 - System Definition'!O30</f>
        <v>Utility Power Level Switchgear</v>
      </c>
      <c r="D375" s="475" t="str">
        <f>'Step 5 - Mitigation Analysis'!F32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375" s="478" t="str">
        <f>'Step 5 - Mitigation Analysis'!I32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375" s="478" t="str">
        <f>'Step 5 - Mitigation Analysis'!L32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375" s="478" t="str">
        <f>'Step 5 - Mitigation Analysis'!O32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375" s="478" t="str">
        <f>'Step 5 - Mitigation Analysis'!R32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375" s="478" t="str">
        <f>'Step 5 - Mitigation Analysis'!U32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375" s="478" t="str">
        <f>'Step 5 - Mitigation Analysis'!X32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375" s="478" t="str">
        <f>'Step 5 - Mitigation Analysis'!AA32</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375" s="149">
        <v>349</v>
      </c>
      <c r="M375" s="134" t="s">
        <v>28</v>
      </c>
      <c r="N375" s="134" t="s">
        <v>283</v>
      </c>
      <c r="O375" s="144" t="s">
        <v>118</v>
      </c>
      <c r="P375" s="136" t="s">
        <v>434</v>
      </c>
    </row>
    <row r="376" spans="1:16" ht="30">
      <c r="A376" s="428"/>
      <c r="B376" s="431"/>
      <c r="C376" s="425"/>
      <c r="D376" s="476"/>
      <c r="E376" s="479"/>
      <c r="F376" s="479"/>
      <c r="G376" s="479"/>
      <c r="H376" s="479"/>
      <c r="I376" s="479"/>
      <c r="J376" s="479"/>
      <c r="K376" s="479"/>
      <c r="L376" s="150">
        <v>350</v>
      </c>
      <c r="M376" s="125" t="s">
        <v>28</v>
      </c>
      <c r="N376" s="125" t="s">
        <v>283</v>
      </c>
      <c r="O376" s="126" t="s">
        <v>118</v>
      </c>
      <c r="P376" s="137" t="s">
        <v>127</v>
      </c>
    </row>
    <row r="377" spans="1:16">
      <c r="A377" s="428"/>
      <c r="B377" s="431"/>
      <c r="C377" s="425"/>
      <c r="D377" s="476"/>
      <c r="E377" s="479"/>
      <c r="F377" s="479"/>
      <c r="G377" s="479"/>
      <c r="H377" s="479"/>
      <c r="I377" s="479"/>
      <c r="J377" s="479"/>
      <c r="K377" s="479"/>
      <c r="L377" s="150">
        <v>351</v>
      </c>
      <c r="M377" s="130" t="s">
        <v>28</v>
      </c>
      <c r="N377" s="125"/>
      <c r="O377" s="126"/>
      <c r="P377" s="137"/>
    </row>
    <row r="378" spans="1:16">
      <c r="A378" s="428"/>
      <c r="B378" s="431"/>
      <c r="C378" s="425"/>
      <c r="D378" s="476"/>
      <c r="E378" s="479"/>
      <c r="F378" s="479"/>
      <c r="G378" s="479"/>
      <c r="H378" s="479"/>
      <c r="I378" s="479"/>
      <c r="J378" s="479"/>
      <c r="K378" s="479"/>
      <c r="L378" s="150">
        <v>352</v>
      </c>
      <c r="M378" s="125" t="s">
        <v>28</v>
      </c>
      <c r="N378" s="128"/>
      <c r="O378" s="126"/>
      <c r="P378" s="137"/>
    </row>
    <row r="379" spans="1:16">
      <c r="A379" s="428"/>
      <c r="B379" s="431"/>
      <c r="C379" s="425"/>
      <c r="D379" s="476"/>
      <c r="E379" s="479"/>
      <c r="F379" s="479"/>
      <c r="G379" s="479"/>
      <c r="H379" s="479"/>
      <c r="I379" s="479"/>
      <c r="J379" s="479"/>
      <c r="K379" s="479"/>
      <c r="L379" s="150">
        <v>353</v>
      </c>
      <c r="M379" s="130" t="s">
        <v>28</v>
      </c>
      <c r="N379" s="128"/>
      <c r="O379" s="126"/>
      <c r="P379" s="137"/>
    </row>
    <row r="380" spans="1:16">
      <c r="A380" s="428"/>
      <c r="B380" s="431"/>
      <c r="C380" s="425"/>
      <c r="D380" s="476"/>
      <c r="E380" s="479"/>
      <c r="F380" s="479"/>
      <c r="G380" s="479"/>
      <c r="H380" s="479"/>
      <c r="I380" s="479"/>
      <c r="J380" s="479"/>
      <c r="K380" s="479"/>
      <c r="L380" s="150">
        <v>354</v>
      </c>
      <c r="M380" s="125" t="s">
        <v>28</v>
      </c>
      <c r="N380" s="128"/>
      <c r="O380" s="126"/>
      <c r="P380" s="137"/>
    </row>
    <row r="381" spans="1:16" ht="15.75" thickBot="1">
      <c r="A381" s="428"/>
      <c r="B381" s="431"/>
      <c r="C381" s="426"/>
      <c r="D381" s="477"/>
      <c r="E381" s="480"/>
      <c r="F381" s="480"/>
      <c r="G381" s="480"/>
      <c r="H381" s="480"/>
      <c r="I381" s="480"/>
      <c r="J381" s="480"/>
      <c r="K381" s="480"/>
      <c r="L381" s="151">
        <v>355</v>
      </c>
      <c r="M381" s="290" t="s">
        <v>28</v>
      </c>
      <c r="N381" s="148"/>
      <c r="O381" s="139"/>
      <c r="P381" s="140"/>
    </row>
    <row r="382" spans="1:16">
      <c r="A382" s="428"/>
      <c r="B382" s="431"/>
      <c r="C382" s="424" t="str">
        <f>'Step 1 - System Definition'!O31</f>
        <v>Recloser</v>
      </c>
      <c r="D382" s="475" t="str">
        <f>'Step 5 - Mitigation Analysis'!F33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382" s="478" t="str">
        <f>'Step 5 - Mitigation Analysis'!I33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382" s="478" t="str">
        <f>'Step 5 - Mitigation Analysis'!L33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382" s="478" t="str">
        <f>'Step 5 - Mitigation Analysis'!O33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382" s="478" t="str">
        <f>'Step 5 - Mitigation Analysis'!R33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382" s="478" t="str">
        <f>'Step 5 - Mitigation Analysis'!U33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382" s="478" t="str">
        <f>'Step 5 - Mitigation Analysis'!X33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382" s="478" t="str">
        <f>'Step 5 - Mitigation Analysis'!AA33</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382" s="149">
        <v>356</v>
      </c>
      <c r="M382" s="134" t="s">
        <v>28</v>
      </c>
      <c r="N382" s="147"/>
      <c r="O382" s="135"/>
      <c r="P382" s="136"/>
    </row>
    <row r="383" spans="1:16">
      <c r="A383" s="428"/>
      <c r="B383" s="431"/>
      <c r="C383" s="425"/>
      <c r="D383" s="476"/>
      <c r="E383" s="479"/>
      <c r="F383" s="479"/>
      <c r="G383" s="479"/>
      <c r="H383" s="479"/>
      <c r="I383" s="479"/>
      <c r="J383" s="479"/>
      <c r="K383" s="479"/>
      <c r="L383" s="150">
        <v>357</v>
      </c>
      <c r="M383" s="130" t="s">
        <v>28</v>
      </c>
      <c r="N383" s="128"/>
      <c r="O383" s="126"/>
      <c r="P383" s="137"/>
    </row>
    <row r="384" spans="1:16">
      <c r="A384" s="428"/>
      <c r="B384" s="431"/>
      <c r="C384" s="425"/>
      <c r="D384" s="476"/>
      <c r="E384" s="479"/>
      <c r="F384" s="479"/>
      <c r="G384" s="479"/>
      <c r="H384" s="479"/>
      <c r="I384" s="479"/>
      <c r="J384" s="479"/>
      <c r="K384" s="479"/>
      <c r="L384" s="150">
        <v>358</v>
      </c>
      <c r="M384" s="125" t="s">
        <v>28</v>
      </c>
      <c r="N384" s="128"/>
      <c r="O384" s="126"/>
      <c r="P384" s="137"/>
    </row>
    <row r="385" spans="1:16">
      <c r="A385" s="428"/>
      <c r="B385" s="431"/>
      <c r="C385" s="425"/>
      <c r="D385" s="476"/>
      <c r="E385" s="479"/>
      <c r="F385" s="479"/>
      <c r="G385" s="479"/>
      <c r="H385" s="479"/>
      <c r="I385" s="479"/>
      <c r="J385" s="479"/>
      <c r="K385" s="479"/>
      <c r="L385" s="150">
        <v>359</v>
      </c>
      <c r="M385" s="130" t="s">
        <v>28</v>
      </c>
      <c r="N385" s="128"/>
      <c r="O385" s="126"/>
      <c r="P385" s="137"/>
    </row>
    <row r="386" spans="1:16" ht="24">
      <c r="A386" s="428"/>
      <c r="B386" s="431"/>
      <c r="C386" s="425"/>
      <c r="D386" s="476"/>
      <c r="E386" s="479"/>
      <c r="F386" s="479"/>
      <c r="G386" s="479"/>
      <c r="H386" s="479"/>
      <c r="I386" s="479"/>
      <c r="J386" s="479"/>
      <c r="K386" s="479"/>
      <c r="L386" s="150">
        <v>360</v>
      </c>
      <c r="M386" s="125" t="s">
        <v>28</v>
      </c>
      <c r="N386" s="125" t="s">
        <v>283</v>
      </c>
      <c r="O386" s="126" t="s">
        <v>132</v>
      </c>
      <c r="P386" s="121" t="s">
        <v>138</v>
      </c>
    </row>
    <row r="387" spans="1:16" ht="24">
      <c r="A387" s="428"/>
      <c r="B387" s="431"/>
      <c r="C387" s="425"/>
      <c r="D387" s="476"/>
      <c r="E387" s="479"/>
      <c r="F387" s="479"/>
      <c r="G387" s="479"/>
      <c r="H387" s="479"/>
      <c r="I387" s="479"/>
      <c r="J387" s="479"/>
      <c r="K387" s="479"/>
      <c r="L387" s="150">
        <v>361</v>
      </c>
      <c r="M387" s="130" t="s">
        <v>28</v>
      </c>
      <c r="N387" s="125" t="s">
        <v>283</v>
      </c>
      <c r="O387" s="126" t="s">
        <v>132</v>
      </c>
      <c r="P387" s="121" t="s">
        <v>139</v>
      </c>
    </row>
    <row r="388" spans="1:16">
      <c r="A388" s="428"/>
      <c r="B388" s="431"/>
      <c r="C388" s="425"/>
      <c r="D388" s="476"/>
      <c r="E388" s="479"/>
      <c r="F388" s="479"/>
      <c r="G388" s="479"/>
      <c r="H388" s="479"/>
      <c r="I388" s="479"/>
      <c r="J388" s="479"/>
      <c r="K388" s="479"/>
      <c r="L388" s="150">
        <v>362</v>
      </c>
      <c r="M388" s="125" t="s">
        <v>28</v>
      </c>
      <c r="N388" s="128"/>
      <c r="O388" s="126"/>
      <c r="P388" s="137"/>
    </row>
    <row r="389" spans="1:16">
      <c r="A389" s="428"/>
      <c r="B389" s="431"/>
      <c r="C389" s="425"/>
      <c r="D389" s="476"/>
      <c r="E389" s="479"/>
      <c r="F389" s="479"/>
      <c r="G389" s="479"/>
      <c r="H389" s="479"/>
      <c r="I389" s="479"/>
      <c r="J389" s="479"/>
      <c r="K389" s="479"/>
      <c r="L389" s="150">
        <v>363</v>
      </c>
      <c r="M389" s="130" t="s">
        <v>28</v>
      </c>
      <c r="N389" s="128"/>
      <c r="O389" s="126"/>
      <c r="P389" s="137"/>
    </row>
    <row r="390" spans="1:16">
      <c r="A390" s="428"/>
      <c r="B390" s="431"/>
      <c r="C390" s="425"/>
      <c r="D390" s="476"/>
      <c r="E390" s="479"/>
      <c r="F390" s="479"/>
      <c r="G390" s="479"/>
      <c r="H390" s="479"/>
      <c r="I390" s="479"/>
      <c r="J390" s="479"/>
      <c r="K390" s="479"/>
      <c r="L390" s="150">
        <v>364</v>
      </c>
      <c r="M390" s="125" t="s">
        <v>28</v>
      </c>
      <c r="N390" s="128"/>
      <c r="O390" s="126"/>
      <c r="P390" s="137"/>
    </row>
    <row r="391" spans="1:16" ht="15.75" thickBot="1">
      <c r="A391" s="428"/>
      <c r="B391" s="431"/>
      <c r="C391" s="426"/>
      <c r="D391" s="477"/>
      <c r="E391" s="480"/>
      <c r="F391" s="480"/>
      <c r="G391" s="480"/>
      <c r="H391" s="480"/>
      <c r="I391" s="480"/>
      <c r="J391" s="480"/>
      <c r="K391" s="480"/>
      <c r="L391" s="151">
        <v>365</v>
      </c>
      <c r="M391" s="290" t="s">
        <v>28</v>
      </c>
      <c r="N391" s="148"/>
      <c r="O391" s="139"/>
      <c r="P391" s="140"/>
    </row>
    <row r="392" spans="1:16" ht="45">
      <c r="A392" s="428"/>
      <c r="B392" s="431"/>
      <c r="C392" s="424" t="str">
        <f>'Step 1 - System Definition'!O32</f>
        <v>Protection Relay(s)</v>
      </c>
      <c r="D392" s="475" t="str">
        <f>'Step 5 - Mitigation Analysis'!F34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392" s="478" t="str">
        <f>'Step 5 - Mitigation Analysis'!I34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392" s="478" t="str">
        <f>'Step 5 - Mitigation Analysis'!L34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392" s="478" t="str">
        <f>'Step 5 - Mitigation Analysis'!O34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392" s="478" t="str">
        <f>'Step 5 - Mitigation Analysis'!R34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392" s="478" t="str">
        <f>'Step 5 - Mitigation Analysis'!U34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392" s="478" t="str">
        <f>'Step 5 - Mitigation Analysis'!X34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392" s="478" t="str">
        <f>'Step 5 - Mitigation Analysis'!AA34</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392" s="149">
        <v>366</v>
      </c>
      <c r="M392" s="134" t="s">
        <v>28</v>
      </c>
      <c r="N392" s="134" t="s">
        <v>283</v>
      </c>
      <c r="O392" s="144" t="s">
        <v>118</v>
      </c>
      <c r="P392" s="136" t="s">
        <v>123</v>
      </c>
    </row>
    <row r="393" spans="1:16">
      <c r="A393" s="428"/>
      <c r="B393" s="431"/>
      <c r="C393" s="425"/>
      <c r="D393" s="476"/>
      <c r="E393" s="479"/>
      <c r="F393" s="479"/>
      <c r="G393" s="479"/>
      <c r="H393" s="479"/>
      <c r="I393" s="479"/>
      <c r="J393" s="479"/>
      <c r="K393" s="479"/>
      <c r="L393" s="150">
        <v>367</v>
      </c>
      <c r="M393" s="130" t="s">
        <v>28</v>
      </c>
      <c r="N393" s="128"/>
      <c r="O393" s="126"/>
      <c r="P393" s="137"/>
    </row>
    <row r="394" spans="1:16">
      <c r="A394" s="428"/>
      <c r="B394" s="431"/>
      <c r="C394" s="425"/>
      <c r="D394" s="476"/>
      <c r="E394" s="479"/>
      <c r="F394" s="479"/>
      <c r="G394" s="479"/>
      <c r="H394" s="479"/>
      <c r="I394" s="479"/>
      <c r="J394" s="479"/>
      <c r="K394" s="479"/>
      <c r="L394" s="150">
        <v>368</v>
      </c>
      <c r="M394" s="125" t="s">
        <v>28</v>
      </c>
      <c r="N394" s="128"/>
      <c r="O394" s="126"/>
      <c r="P394" s="137"/>
    </row>
    <row r="395" spans="1:16" ht="24">
      <c r="A395" s="428"/>
      <c r="B395" s="431"/>
      <c r="C395" s="425"/>
      <c r="D395" s="476"/>
      <c r="E395" s="479"/>
      <c r="F395" s="479"/>
      <c r="G395" s="479"/>
      <c r="H395" s="479"/>
      <c r="I395" s="479"/>
      <c r="J395" s="479"/>
      <c r="K395" s="479"/>
      <c r="L395" s="150">
        <v>369</v>
      </c>
      <c r="M395" s="130" t="s">
        <v>28</v>
      </c>
      <c r="N395" s="125" t="s">
        <v>283</v>
      </c>
      <c r="O395" s="126" t="s">
        <v>132</v>
      </c>
      <c r="P395" s="121" t="s">
        <v>138</v>
      </c>
    </row>
    <row r="396" spans="1:16" ht="24">
      <c r="A396" s="428"/>
      <c r="B396" s="431"/>
      <c r="C396" s="425"/>
      <c r="D396" s="476"/>
      <c r="E396" s="479"/>
      <c r="F396" s="479"/>
      <c r="G396" s="479"/>
      <c r="H396" s="479"/>
      <c r="I396" s="479"/>
      <c r="J396" s="479"/>
      <c r="K396" s="479"/>
      <c r="L396" s="150">
        <v>370</v>
      </c>
      <c r="M396" s="125" t="s">
        <v>28</v>
      </c>
      <c r="N396" s="125" t="s">
        <v>283</v>
      </c>
      <c r="O396" s="126" t="s">
        <v>132</v>
      </c>
      <c r="P396" s="121" t="s">
        <v>139</v>
      </c>
    </row>
    <row r="397" spans="1:16">
      <c r="A397" s="428"/>
      <c r="B397" s="431"/>
      <c r="C397" s="425"/>
      <c r="D397" s="476"/>
      <c r="E397" s="479"/>
      <c r="F397" s="479"/>
      <c r="G397" s="479"/>
      <c r="H397" s="479"/>
      <c r="I397" s="479"/>
      <c r="J397" s="479"/>
      <c r="K397" s="479"/>
      <c r="L397" s="150">
        <v>371</v>
      </c>
      <c r="M397" s="130" t="s">
        <v>28</v>
      </c>
      <c r="N397" s="128"/>
      <c r="O397" s="126"/>
      <c r="P397" s="137"/>
    </row>
    <row r="398" spans="1:16" ht="15.75" thickBot="1">
      <c r="A398" s="428"/>
      <c r="B398" s="463"/>
      <c r="C398" s="426"/>
      <c r="D398" s="477"/>
      <c r="E398" s="480"/>
      <c r="F398" s="480"/>
      <c r="G398" s="480"/>
      <c r="H398" s="480"/>
      <c r="I398" s="480"/>
      <c r="J398" s="480"/>
      <c r="K398" s="480"/>
      <c r="L398" s="151">
        <v>372</v>
      </c>
      <c r="M398" s="138" t="s">
        <v>28</v>
      </c>
      <c r="N398" s="148"/>
      <c r="O398" s="139"/>
      <c r="P398" s="140"/>
    </row>
    <row r="399" spans="1:16" ht="24">
      <c r="A399" s="428"/>
      <c r="B399" s="430" t="s">
        <v>365</v>
      </c>
      <c r="C399" s="433" t="str">
        <f>'Step 1 - System Definition'!O33</f>
        <v>Generation Meter</v>
      </c>
      <c r="D399" s="485" t="str">
        <f>'Step 5 - Mitigation Analysis'!F35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399" s="478" t="str">
        <f>'Step 5 - Mitigation Analysis'!I35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399" s="478" t="str">
        <f>'Step 5 - Mitigation Analysis'!L35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399" s="478" t="str">
        <f>'Step 5 - Mitigation Analysis'!O35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399" s="478" t="str">
        <f>'Step 5 - Mitigation Analysis'!R35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399" s="478" t="str">
        <f>'Step 5 - Mitigation Analysis'!U35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399" s="472" t="str">
        <f>'Step 5 - Mitigation Analysis'!X35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399" s="472" t="str">
        <f>'Step 5 - Mitigation Analysis'!AA35</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399" s="149">
        <v>373</v>
      </c>
      <c r="M399" s="134" t="s">
        <v>28</v>
      </c>
      <c r="N399" s="134" t="s">
        <v>283</v>
      </c>
      <c r="O399" s="135" t="s">
        <v>132</v>
      </c>
      <c r="P399" s="120" t="s">
        <v>133</v>
      </c>
    </row>
    <row r="400" spans="1:16" ht="24">
      <c r="A400" s="428"/>
      <c r="B400" s="431"/>
      <c r="C400" s="434"/>
      <c r="D400" s="486"/>
      <c r="E400" s="479"/>
      <c r="F400" s="479"/>
      <c r="G400" s="479"/>
      <c r="H400" s="479"/>
      <c r="I400" s="479"/>
      <c r="J400" s="473"/>
      <c r="K400" s="473"/>
      <c r="L400" s="150">
        <v>374</v>
      </c>
      <c r="M400" s="125" t="s">
        <v>28</v>
      </c>
      <c r="N400" s="125" t="s">
        <v>283</v>
      </c>
      <c r="O400" s="126" t="s">
        <v>132</v>
      </c>
      <c r="P400" s="121" t="s">
        <v>134</v>
      </c>
    </row>
    <row r="401" spans="1:16" ht="24">
      <c r="A401" s="428"/>
      <c r="B401" s="431"/>
      <c r="C401" s="434"/>
      <c r="D401" s="486"/>
      <c r="E401" s="479"/>
      <c r="F401" s="479"/>
      <c r="G401" s="479"/>
      <c r="H401" s="479"/>
      <c r="I401" s="479"/>
      <c r="J401" s="473"/>
      <c r="K401" s="473"/>
      <c r="L401" s="150">
        <v>375</v>
      </c>
      <c r="M401" s="130" t="s">
        <v>28</v>
      </c>
      <c r="N401" s="125" t="s">
        <v>283</v>
      </c>
      <c r="O401" s="126" t="s">
        <v>132</v>
      </c>
      <c r="P401" s="121" t="s">
        <v>135</v>
      </c>
    </row>
    <row r="402" spans="1:16" ht="24">
      <c r="A402" s="428"/>
      <c r="B402" s="431"/>
      <c r="C402" s="434"/>
      <c r="D402" s="486"/>
      <c r="E402" s="479"/>
      <c r="F402" s="479"/>
      <c r="G402" s="479"/>
      <c r="H402" s="479"/>
      <c r="I402" s="479"/>
      <c r="J402" s="473"/>
      <c r="K402" s="473"/>
      <c r="L402" s="150">
        <v>376</v>
      </c>
      <c r="M402" s="125" t="s">
        <v>28</v>
      </c>
      <c r="N402" s="125" t="s">
        <v>283</v>
      </c>
      <c r="O402" s="164" t="s">
        <v>132</v>
      </c>
      <c r="P402" s="121" t="s">
        <v>136</v>
      </c>
    </row>
    <row r="403" spans="1:16" ht="24">
      <c r="A403" s="428"/>
      <c r="B403" s="431"/>
      <c r="C403" s="434"/>
      <c r="D403" s="486"/>
      <c r="E403" s="479"/>
      <c r="F403" s="479"/>
      <c r="G403" s="479"/>
      <c r="H403" s="479"/>
      <c r="I403" s="479"/>
      <c r="J403" s="473"/>
      <c r="K403" s="473"/>
      <c r="L403" s="150">
        <v>377</v>
      </c>
      <c r="M403" s="130" t="s">
        <v>28</v>
      </c>
      <c r="N403" s="125" t="s">
        <v>283</v>
      </c>
      <c r="O403" s="164" t="s">
        <v>132</v>
      </c>
      <c r="P403" s="121" t="s">
        <v>138</v>
      </c>
    </row>
    <row r="404" spans="1:16" ht="24">
      <c r="A404" s="428"/>
      <c r="B404" s="431"/>
      <c r="C404" s="434"/>
      <c r="D404" s="486"/>
      <c r="E404" s="479"/>
      <c r="F404" s="479"/>
      <c r="G404" s="479"/>
      <c r="H404" s="479"/>
      <c r="I404" s="479"/>
      <c r="J404" s="473"/>
      <c r="K404" s="473"/>
      <c r="L404" s="150">
        <v>378</v>
      </c>
      <c r="M404" s="125" t="s">
        <v>28</v>
      </c>
      <c r="N404" s="125" t="s">
        <v>283</v>
      </c>
      <c r="O404" s="164" t="s">
        <v>132</v>
      </c>
      <c r="P404" s="121" t="s">
        <v>139</v>
      </c>
    </row>
    <row r="405" spans="1:16">
      <c r="A405" s="428"/>
      <c r="B405" s="431"/>
      <c r="C405" s="434"/>
      <c r="D405" s="486"/>
      <c r="E405" s="479"/>
      <c r="F405" s="479"/>
      <c r="G405" s="479"/>
      <c r="H405" s="479"/>
      <c r="I405" s="479"/>
      <c r="J405" s="473"/>
      <c r="K405" s="473"/>
      <c r="L405" s="150">
        <v>379</v>
      </c>
      <c r="M405" s="130" t="s">
        <v>28</v>
      </c>
      <c r="N405" s="160" t="s">
        <v>283</v>
      </c>
      <c r="O405" s="171" t="s">
        <v>158</v>
      </c>
      <c r="P405" s="161" t="s">
        <v>356</v>
      </c>
    </row>
    <row r="406" spans="1:16">
      <c r="A406" s="428"/>
      <c r="B406" s="431"/>
      <c r="C406" s="434"/>
      <c r="D406" s="486"/>
      <c r="E406" s="479"/>
      <c r="F406" s="479"/>
      <c r="G406" s="479"/>
      <c r="H406" s="479"/>
      <c r="I406" s="479"/>
      <c r="J406" s="473"/>
      <c r="K406" s="473"/>
      <c r="L406" s="150">
        <v>380</v>
      </c>
      <c r="M406" s="125" t="s">
        <v>28</v>
      </c>
      <c r="N406" s="128"/>
      <c r="O406" s="126"/>
      <c r="P406" s="137"/>
    </row>
    <row r="407" spans="1:16">
      <c r="A407" s="428"/>
      <c r="B407" s="431"/>
      <c r="C407" s="434"/>
      <c r="D407" s="486"/>
      <c r="E407" s="479"/>
      <c r="F407" s="479"/>
      <c r="G407" s="479"/>
      <c r="H407" s="479"/>
      <c r="I407" s="479"/>
      <c r="J407" s="473"/>
      <c r="K407" s="473"/>
      <c r="L407" s="150">
        <v>381</v>
      </c>
      <c r="M407" s="130" t="s">
        <v>28</v>
      </c>
      <c r="N407" s="128"/>
      <c r="O407" s="126"/>
      <c r="P407" s="137"/>
    </row>
    <row r="408" spans="1:16">
      <c r="A408" s="428"/>
      <c r="B408" s="431"/>
      <c r="C408" s="434"/>
      <c r="D408" s="486"/>
      <c r="E408" s="479"/>
      <c r="F408" s="479"/>
      <c r="G408" s="479"/>
      <c r="H408" s="479"/>
      <c r="I408" s="479"/>
      <c r="J408" s="473"/>
      <c r="K408" s="473"/>
      <c r="L408" s="150">
        <v>382</v>
      </c>
      <c r="M408" s="125" t="s">
        <v>28</v>
      </c>
      <c r="N408" s="128"/>
      <c r="O408" s="126"/>
      <c r="P408" s="137"/>
    </row>
    <row r="409" spans="1:16">
      <c r="A409" s="428"/>
      <c r="B409" s="431"/>
      <c r="C409" s="434"/>
      <c r="D409" s="486"/>
      <c r="E409" s="479"/>
      <c r="F409" s="479"/>
      <c r="G409" s="479"/>
      <c r="H409" s="479"/>
      <c r="I409" s="479"/>
      <c r="J409" s="473"/>
      <c r="K409" s="473"/>
      <c r="L409" s="150">
        <v>383</v>
      </c>
      <c r="M409" s="130" t="s">
        <v>28</v>
      </c>
      <c r="N409" s="128"/>
      <c r="O409" s="126"/>
      <c r="P409" s="137"/>
    </row>
    <row r="410" spans="1:16">
      <c r="A410" s="428"/>
      <c r="B410" s="431"/>
      <c r="C410" s="434"/>
      <c r="D410" s="486"/>
      <c r="E410" s="479"/>
      <c r="F410" s="479"/>
      <c r="G410" s="479"/>
      <c r="H410" s="479"/>
      <c r="I410" s="479"/>
      <c r="J410" s="473"/>
      <c r="K410" s="473"/>
      <c r="L410" s="150">
        <v>384</v>
      </c>
      <c r="M410" s="125" t="s">
        <v>28</v>
      </c>
      <c r="N410" s="128"/>
      <c r="O410" s="126"/>
      <c r="P410" s="137"/>
    </row>
    <row r="411" spans="1:16">
      <c r="A411" s="428"/>
      <c r="B411" s="431"/>
      <c r="C411" s="434"/>
      <c r="D411" s="486"/>
      <c r="E411" s="479"/>
      <c r="F411" s="479"/>
      <c r="G411" s="479"/>
      <c r="H411" s="479"/>
      <c r="I411" s="479"/>
      <c r="J411" s="473"/>
      <c r="K411" s="473"/>
      <c r="L411" s="150">
        <v>385</v>
      </c>
      <c r="M411" s="130" t="s">
        <v>28</v>
      </c>
      <c r="N411" s="128"/>
      <c r="O411" s="126"/>
      <c r="P411" s="137"/>
    </row>
    <row r="412" spans="1:16">
      <c r="A412" s="428"/>
      <c r="B412" s="431"/>
      <c r="C412" s="434"/>
      <c r="D412" s="486"/>
      <c r="E412" s="479"/>
      <c r="F412" s="479"/>
      <c r="G412" s="479"/>
      <c r="H412" s="479"/>
      <c r="I412" s="479"/>
      <c r="J412" s="473"/>
      <c r="K412" s="473"/>
      <c r="L412" s="150">
        <v>386</v>
      </c>
      <c r="M412" s="125" t="s">
        <v>28</v>
      </c>
      <c r="N412" s="128"/>
      <c r="O412" s="126"/>
      <c r="P412" s="137"/>
    </row>
    <row r="413" spans="1:16">
      <c r="A413" s="428"/>
      <c r="B413" s="431"/>
      <c r="C413" s="434"/>
      <c r="D413" s="486"/>
      <c r="E413" s="479"/>
      <c r="F413" s="479"/>
      <c r="G413" s="479"/>
      <c r="H413" s="479"/>
      <c r="I413" s="479"/>
      <c r="J413" s="473"/>
      <c r="K413" s="473"/>
      <c r="L413" s="150">
        <v>387</v>
      </c>
      <c r="M413" s="130" t="s">
        <v>28</v>
      </c>
      <c r="N413" s="128"/>
      <c r="O413" s="126"/>
      <c r="P413" s="137"/>
    </row>
    <row r="414" spans="1:16" ht="15.75" thickBot="1">
      <c r="A414" s="428"/>
      <c r="B414" s="431"/>
      <c r="C414" s="435"/>
      <c r="D414" s="487"/>
      <c r="E414" s="480"/>
      <c r="F414" s="480"/>
      <c r="G414" s="480"/>
      <c r="H414" s="480"/>
      <c r="I414" s="480"/>
      <c r="J414" s="474"/>
      <c r="K414" s="474"/>
      <c r="L414" s="151">
        <v>388</v>
      </c>
      <c r="M414" s="138" t="s">
        <v>28</v>
      </c>
      <c r="N414" s="148"/>
      <c r="O414" s="139"/>
      <c r="P414" s="140"/>
    </row>
    <row r="415" spans="1:16" ht="24">
      <c r="A415" s="428"/>
      <c r="B415" s="431"/>
      <c r="C415" s="433" t="str">
        <f>'Step 1 - System Definition'!O34</f>
        <v>Revenue-Grade Meter</v>
      </c>
      <c r="D415" s="482" t="str">
        <f>'Step 5 - Mitigation Analysis'!F36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415" s="482" t="str">
        <f>'Step 5 - Mitigation Analysis'!I36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415" s="482" t="str">
        <f>'Step 5 - Mitigation Analysis'!L36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415" s="482" t="str">
        <f>'Step 5 - Mitigation Analysis'!O36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415" s="482" t="str">
        <f>'Step 5 - Mitigation Analysis'!R36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415" s="482" t="str">
        <f>'Step 5 - Mitigation Analysis'!U36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415" s="482" t="str">
        <f>'Step 5 - Mitigation Analysis'!X36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415" s="482" t="str">
        <f>'Step 5 - Mitigation Analysis'!AA36</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415" s="149">
        <v>389</v>
      </c>
      <c r="M415" s="134" t="s">
        <v>28</v>
      </c>
      <c r="N415" s="134" t="s">
        <v>283</v>
      </c>
      <c r="O415" s="135" t="s">
        <v>132</v>
      </c>
      <c r="P415" s="120" t="s">
        <v>133</v>
      </c>
    </row>
    <row r="416" spans="1:16" ht="24">
      <c r="A416" s="428"/>
      <c r="B416" s="431"/>
      <c r="C416" s="434"/>
      <c r="D416" s="483"/>
      <c r="E416" s="483"/>
      <c r="F416" s="483"/>
      <c r="G416" s="483"/>
      <c r="H416" s="483"/>
      <c r="I416" s="483"/>
      <c r="J416" s="483"/>
      <c r="K416" s="483"/>
      <c r="L416" s="150">
        <v>390</v>
      </c>
      <c r="M416" s="125" t="s">
        <v>28</v>
      </c>
      <c r="N416" s="125" t="s">
        <v>283</v>
      </c>
      <c r="O416" s="126" t="s">
        <v>132</v>
      </c>
      <c r="P416" s="121" t="s">
        <v>134</v>
      </c>
    </row>
    <row r="417" spans="1:16" ht="24">
      <c r="A417" s="428"/>
      <c r="B417" s="431"/>
      <c r="C417" s="434"/>
      <c r="D417" s="483"/>
      <c r="E417" s="483"/>
      <c r="F417" s="483"/>
      <c r="G417" s="483"/>
      <c r="H417" s="483"/>
      <c r="I417" s="483"/>
      <c r="J417" s="483"/>
      <c r="K417" s="483"/>
      <c r="L417" s="150">
        <v>391</v>
      </c>
      <c r="M417" s="130" t="s">
        <v>28</v>
      </c>
      <c r="N417" s="125" t="s">
        <v>283</v>
      </c>
      <c r="O417" s="126" t="s">
        <v>132</v>
      </c>
      <c r="P417" s="121" t="s">
        <v>135</v>
      </c>
    </row>
    <row r="418" spans="1:16" ht="24">
      <c r="A418" s="428"/>
      <c r="B418" s="431"/>
      <c r="C418" s="434"/>
      <c r="D418" s="483"/>
      <c r="E418" s="483"/>
      <c r="F418" s="483"/>
      <c r="G418" s="483"/>
      <c r="H418" s="483"/>
      <c r="I418" s="483"/>
      <c r="J418" s="483"/>
      <c r="K418" s="483"/>
      <c r="L418" s="150">
        <v>392</v>
      </c>
      <c r="M418" s="125" t="s">
        <v>28</v>
      </c>
      <c r="N418" s="125" t="s">
        <v>283</v>
      </c>
      <c r="O418" s="126" t="s">
        <v>132</v>
      </c>
      <c r="P418" s="121" t="s">
        <v>136</v>
      </c>
    </row>
    <row r="419" spans="1:16" ht="24">
      <c r="A419" s="428"/>
      <c r="B419" s="431"/>
      <c r="C419" s="434"/>
      <c r="D419" s="483"/>
      <c r="E419" s="483"/>
      <c r="F419" s="483"/>
      <c r="G419" s="483"/>
      <c r="H419" s="483"/>
      <c r="I419" s="483"/>
      <c r="J419" s="483"/>
      <c r="K419" s="483"/>
      <c r="L419" s="150">
        <v>393</v>
      </c>
      <c r="M419" s="130" t="s">
        <v>28</v>
      </c>
      <c r="N419" s="125" t="s">
        <v>283</v>
      </c>
      <c r="O419" s="126" t="s">
        <v>132</v>
      </c>
      <c r="P419" s="121" t="s">
        <v>138</v>
      </c>
    </row>
    <row r="420" spans="1:16" ht="24">
      <c r="A420" s="428"/>
      <c r="B420" s="431"/>
      <c r="C420" s="434"/>
      <c r="D420" s="483"/>
      <c r="E420" s="483"/>
      <c r="F420" s="483"/>
      <c r="G420" s="483"/>
      <c r="H420" s="483"/>
      <c r="I420" s="483"/>
      <c r="J420" s="483"/>
      <c r="K420" s="483"/>
      <c r="L420" s="150">
        <v>394</v>
      </c>
      <c r="M420" s="125" t="s">
        <v>28</v>
      </c>
      <c r="N420" s="125" t="s">
        <v>283</v>
      </c>
      <c r="O420" s="126" t="s">
        <v>132</v>
      </c>
      <c r="P420" s="121" t="s">
        <v>139</v>
      </c>
    </row>
    <row r="421" spans="1:16">
      <c r="A421" s="428"/>
      <c r="B421" s="431"/>
      <c r="C421" s="434"/>
      <c r="D421" s="483"/>
      <c r="E421" s="483"/>
      <c r="F421" s="483"/>
      <c r="G421" s="483"/>
      <c r="H421" s="483"/>
      <c r="I421" s="483"/>
      <c r="J421" s="483"/>
      <c r="K421" s="483"/>
      <c r="L421" s="150">
        <v>395</v>
      </c>
      <c r="M421" s="130" t="s">
        <v>28</v>
      </c>
      <c r="N421" s="125" t="s">
        <v>283</v>
      </c>
      <c r="O421" s="126" t="s">
        <v>158</v>
      </c>
      <c r="P421" s="121" t="s">
        <v>356</v>
      </c>
    </row>
    <row r="422" spans="1:16">
      <c r="A422" s="428"/>
      <c r="B422" s="431"/>
      <c r="C422" s="434"/>
      <c r="D422" s="483"/>
      <c r="E422" s="483"/>
      <c r="F422" s="483"/>
      <c r="G422" s="483"/>
      <c r="H422" s="483"/>
      <c r="I422" s="483"/>
      <c r="J422" s="483"/>
      <c r="K422" s="483"/>
      <c r="L422" s="150">
        <v>396</v>
      </c>
      <c r="M422" s="125" t="s">
        <v>28</v>
      </c>
      <c r="N422" s="128"/>
      <c r="O422" s="126"/>
      <c r="P422" s="137"/>
    </row>
    <row r="423" spans="1:16">
      <c r="A423" s="428"/>
      <c r="B423" s="431"/>
      <c r="C423" s="434"/>
      <c r="D423" s="483"/>
      <c r="E423" s="483"/>
      <c r="F423" s="483"/>
      <c r="G423" s="483"/>
      <c r="H423" s="483"/>
      <c r="I423" s="483"/>
      <c r="J423" s="483"/>
      <c r="K423" s="483"/>
      <c r="L423" s="150">
        <v>397</v>
      </c>
      <c r="M423" s="130" t="s">
        <v>28</v>
      </c>
      <c r="N423" s="128"/>
      <c r="O423" s="126"/>
      <c r="P423" s="137"/>
    </row>
    <row r="424" spans="1:16">
      <c r="A424" s="428"/>
      <c r="B424" s="431"/>
      <c r="C424" s="434"/>
      <c r="D424" s="483"/>
      <c r="E424" s="483"/>
      <c r="F424" s="483"/>
      <c r="G424" s="483"/>
      <c r="H424" s="483"/>
      <c r="I424" s="483"/>
      <c r="J424" s="483"/>
      <c r="K424" s="483"/>
      <c r="L424" s="150">
        <v>398</v>
      </c>
      <c r="M424" s="125" t="s">
        <v>28</v>
      </c>
      <c r="N424" s="128"/>
      <c r="O424" s="126"/>
      <c r="P424" s="137"/>
    </row>
    <row r="425" spans="1:16">
      <c r="A425" s="428"/>
      <c r="B425" s="431"/>
      <c r="C425" s="434"/>
      <c r="D425" s="483"/>
      <c r="E425" s="483"/>
      <c r="F425" s="483"/>
      <c r="G425" s="483"/>
      <c r="H425" s="483"/>
      <c r="I425" s="483"/>
      <c r="J425" s="483"/>
      <c r="K425" s="483"/>
      <c r="L425" s="150">
        <v>399</v>
      </c>
      <c r="M425" s="130" t="s">
        <v>28</v>
      </c>
      <c r="N425" s="128"/>
      <c r="O425" s="126"/>
      <c r="P425" s="137"/>
    </row>
    <row r="426" spans="1:16">
      <c r="A426" s="428"/>
      <c r="B426" s="431"/>
      <c r="C426" s="434"/>
      <c r="D426" s="483"/>
      <c r="E426" s="483"/>
      <c r="F426" s="483"/>
      <c r="G426" s="483"/>
      <c r="H426" s="483"/>
      <c r="I426" s="483"/>
      <c r="J426" s="483"/>
      <c r="K426" s="483"/>
      <c r="L426" s="150">
        <v>400</v>
      </c>
      <c r="M426" s="125" t="s">
        <v>28</v>
      </c>
      <c r="N426" s="128"/>
      <c r="O426" s="126"/>
      <c r="P426" s="137"/>
    </row>
    <row r="427" spans="1:16">
      <c r="A427" s="428"/>
      <c r="B427" s="431"/>
      <c r="C427" s="434"/>
      <c r="D427" s="483"/>
      <c r="E427" s="483"/>
      <c r="F427" s="483"/>
      <c r="G427" s="483"/>
      <c r="H427" s="483"/>
      <c r="I427" s="483"/>
      <c r="J427" s="483"/>
      <c r="K427" s="483"/>
      <c r="L427" s="150">
        <v>401</v>
      </c>
      <c r="M427" s="130" t="s">
        <v>28</v>
      </c>
      <c r="N427" s="128"/>
      <c r="O427" s="126"/>
      <c r="P427" s="137"/>
    </row>
    <row r="428" spans="1:16">
      <c r="A428" s="428"/>
      <c r="B428" s="431"/>
      <c r="C428" s="434"/>
      <c r="D428" s="483"/>
      <c r="E428" s="483"/>
      <c r="F428" s="483"/>
      <c r="G428" s="483"/>
      <c r="H428" s="483"/>
      <c r="I428" s="483"/>
      <c r="J428" s="483"/>
      <c r="K428" s="483"/>
      <c r="L428" s="150">
        <v>402</v>
      </c>
      <c r="M428" s="125" t="s">
        <v>28</v>
      </c>
      <c r="N428" s="128"/>
      <c r="O428" s="126"/>
      <c r="P428" s="137"/>
    </row>
    <row r="429" spans="1:16">
      <c r="A429" s="428"/>
      <c r="B429" s="431"/>
      <c r="C429" s="434"/>
      <c r="D429" s="483"/>
      <c r="E429" s="483"/>
      <c r="F429" s="483"/>
      <c r="G429" s="483"/>
      <c r="H429" s="483"/>
      <c r="I429" s="483"/>
      <c r="J429" s="483"/>
      <c r="K429" s="483"/>
      <c r="L429" s="150">
        <v>403</v>
      </c>
      <c r="M429" s="130" t="s">
        <v>28</v>
      </c>
      <c r="N429" s="128"/>
      <c r="O429" s="126"/>
      <c r="P429" s="137"/>
    </row>
    <row r="430" spans="1:16" ht="15.75" thickBot="1">
      <c r="A430" s="428"/>
      <c r="B430" s="431"/>
      <c r="C430" s="435"/>
      <c r="D430" s="484"/>
      <c r="E430" s="484"/>
      <c r="F430" s="484"/>
      <c r="G430" s="484"/>
      <c r="H430" s="484"/>
      <c r="I430" s="484"/>
      <c r="J430" s="484"/>
      <c r="K430" s="484"/>
      <c r="L430" s="151">
        <v>404</v>
      </c>
      <c r="M430" s="138" t="s">
        <v>28</v>
      </c>
      <c r="N430" s="148"/>
      <c r="O430" s="139"/>
      <c r="P430" s="140"/>
    </row>
    <row r="431" spans="1:16">
      <c r="A431" s="428"/>
      <c r="B431" s="431"/>
      <c r="C431" s="433" t="str">
        <f>'Step 1 - System Definition'!O35</f>
        <v>Other Energy Source #1</v>
      </c>
      <c r="D431" s="482" t="str">
        <f>'Step 5 - Mitigation Analysis'!F37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431" s="482" t="str">
        <f>'Step 5 - Mitigation Analysis'!I37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431" s="482" t="str">
        <f>'Step 5 - Mitigation Analysis'!L37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431" s="482" t="str">
        <f>'Step 5 - Mitigation Analysis'!O37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431" s="482" t="str">
        <f>'Step 5 - Mitigation Analysis'!R37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431" s="482" t="str">
        <f>'Step 5 - Mitigation Analysis'!U37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431" s="482" t="str">
        <f>'Step 5 - Mitigation Analysis'!X37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431" s="482" t="str">
        <f>'Step 5 - Mitigation Analysis'!AA37</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431" s="149">
        <v>405</v>
      </c>
      <c r="M431" s="134" t="s">
        <v>28</v>
      </c>
      <c r="N431" s="147"/>
      <c r="O431" s="135"/>
      <c r="P431" s="136"/>
    </row>
    <row r="432" spans="1:16">
      <c r="A432" s="428"/>
      <c r="B432" s="431"/>
      <c r="C432" s="434"/>
      <c r="D432" s="483"/>
      <c r="E432" s="483"/>
      <c r="F432" s="483"/>
      <c r="G432" s="483"/>
      <c r="H432" s="483"/>
      <c r="I432" s="483"/>
      <c r="J432" s="483"/>
      <c r="K432" s="483"/>
      <c r="L432" s="150">
        <v>406</v>
      </c>
      <c r="M432" s="125" t="s">
        <v>28</v>
      </c>
      <c r="N432" s="128"/>
      <c r="O432" s="126"/>
      <c r="P432" s="137"/>
    </row>
    <row r="433" spans="1:16">
      <c r="A433" s="428"/>
      <c r="B433" s="431"/>
      <c r="C433" s="434"/>
      <c r="D433" s="483"/>
      <c r="E433" s="483"/>
      <c r="F433" s="483"/>
      <c r="G433" s="483"/>
      <c r="H433" s="483"/>
      <c r="I433" s="483"/>
      <c r="J433" s="483"/>
      <c r="K433" s="483"/>
      <c r="L433" s="150">
        <v>407</v>
      </c>
      <c r="M433" s="130" t="s">
        <v>28</v>
      </c>
      <c r="N433" s="128"/>
      <c r="O433" s="126"/>
      <c r="P433" s="137"/>
    </row>
    <row r="434" spans="1:16">
      <c r="A434" s="428"/>
      <c r="B434" s="431"/>
      <c r="C434" s="434"/>
      <c r="D434" s="483"/>
      <c r="E434" s="483"/>
      <c r="F434" s="483"/>
      <c r="G434" s="483"/>
      <c r="H434" s="483"/>
      <c r="I434" s="483"/>
      <c r="J434" s="483"/>
      <c r="K434" s="483"/>
      <c r="L434" s="150">
        <v>408</v>
      </c>
      <c r="M434" s="125" t="s">
        <v>28</v>
      </c>
      <c r="N434" s="128"/>
      <c r="O434" s="126"/>
      <c r="P434" s="137"/>
    </row>
    <row r="435" spans="1:16">
      <c r="A435" s="428"/>
      <c r="B435" s="431"/>
      <c r="C435" s="434"/>
      <c r="D435" s="483"/>
      <c r="E435" s="483"/>
      <c r="F435" s="483"/>
      <c r="G435" s="483"/>
      <c r="H435" s="483"/>
      <c r="I435" s="483"/>
      <c r="J435" s="483"/>
      <c r="K435" s="483"/>
      <c r="L435" s="150">
        <v>409</v>
      </c>
      <c r="M435" s="130" t="s">
        <v>28</v>
      </c>
      <c r="N435" s="128"/>
      <c r="O435" s="126"/>
      <c r="P435" s="137"/>
    </row>
    <row r="436" spans="1:16">
      <c r="A436" s="428"/>
      <c r="B436" s="431"/>
      <c r="C436" s="434"/>
      <c r="D436" s="483"/>
      <c r="E436" s="483"/>
      <c r="F436" s="483"/>
      <c r="G436" s="483"/>
      <c r="H436" s="483"/>
      <c r="I436" s="483"/>
      <c r="J436" s="483"/>
      <c r="K436" s="483"/>
      <c r="L436" s="150">
        <v>410</v>
      </c>
      <c r="M436" s="125" t="s">
        <v>28</v>
      </c>
      <c r="N436" s="128"/>
      <c r="O436" s="126"/>
      <c r="P436" s="137"/>
    </row>
    <row r="437" spans="1:16">
      <c r="A437" s="428"/>
      <c r="B437" s="431"/>
      <c r="C437" s="434"/>
      <c r="D437" s="483"/>
      <c r="E437" s="483"/>
      <c r="F437" s="483"/>
      <c r="G437" s="483"/>
      <c r="H437" s="483"/>
      <c r="I437" s="483"/>
      <c r="J437" s="483"/>
      <c r="K437" s="483"/>
      <c r="L437" s="150">
        <v>411</v>
      </c>
      <c r="M437" s="130" t="s">
        <v>28</v>
      </c>
      <c r="N437" s="128"/>
      <c r="O437" s="126"/>
      <c r="P437" s="137"/>
    </row>
    <row r="438" spans="1:16">
      <c r="A438" s="428"/>
      <c r="B438" s="431"/>
      <c r="C438" s="434"/>
      <c r="D438" s="483"/>
      <c r="E438" s="483"/>
      <c r="F438" s="483"/>
      <c r="G438" s="483"/>
      <c r="H438" s="483"/>
      <c r="I438" s="483"/>
      <c r="J438" s="483"/>
      <c r="K438" s="483"/>
      <c r="L438" s="150">
        <v>412</v>
      </c>
      <c r="M438" s="125" t="s">
        <v>28</v>
      </c>
      <c r="N438" s="128"/>
      <c r="O438" s="126"/>
      <c r="P438" s="137"/>
    </row>
    <row r="439" spans="1:16">
      <c r="A439" s="428"/>
      <c r="B439" s="431"/>
      <c r="C439" s="434"/>
      <c r="D439" s="483"/>
      <c r="E439" s="483"/>
      <c r="F439" s="483"/>
      <c r="G439" s="483"/>
      <c r="H439" s="483"/>
      <c r="I439" s="483"/>
      <c r="J439" s="483"/>
      <c r="K439" s="483"/>
      <c r="L439" s="150">
        <v>413</v>
      </c>
      <c r="M439" s="130" t="s">
        <v>28</v>
      </c>
      <c r="N439" s="128"/>
      <c r="O439" s="126"/>
      <c r="P439" s="137"/>
    </row>
    <row r="440" spans="1:16" ht="15.75" thickBot="1">
      <c r="A440" s="428"/>
      <c r="B440" s="431"/>
      <c r="C440" s="435"/>
      <c r="D440" s="484"/>
      <c r="E440" s="484"/>
      <c r="F440" s="484"/>
      <c r="G440" s="484"/>
      <c r="H440" s="484"/>
      <c r="I440" s="484"/>
      <c r="J440" s="484"/>
      <c r="K440" s="484"/>
      <c r="L440" s="151">
        <v>414</v>
      </c>
      <c r="M440" s="138" t="s">
        <v>28</v>
      </c>
      <c r="N440" s="148"/>
      <c r="O440" s="139"/>
      <c r="P440" s="140"/>
    </row>
    <row r="441" spans="1:16">
      <c r="A441" s="428"/>
      <c r="B441" s="431"/>
      <c r="C441" s="433" t="str">
        <f>'Step 1 - System Definition'!O36</f>
        <v>Other Energy Source #2</v>
      </c>
      <c r="D441" s="482" t="str">
        <f>'Step 5 - Mitigation Analysis'!F38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E441" s="482" t="str">
        <f>'Step 5 - Mitigation Analysis'!I38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F441" s="482" t="str">
        <f>'Step 5 - Mitigation Analysis'!L38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G441" s="482" t="str">
        <f>'Step 5 - Mitigation Analysis'!O38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H441" s="482" t="str">
        <f>'Step 5 - Mitigation Analysis'!R38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I441" s="482" t="str">
        <f>'Step 5 - Mitigation Analysis'!U38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J441" s="482" t="str">
        <f>'Step 5 - Mitigation Analysis'!X38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K441" s="482" t="str">
        <f>'Step 5 - Mitigation Analysis'!AA38</f>
        <v>Are analog or physical protections engineered into the system (where possible)? How dependent are the system’s engineered controls on digital technologies?
What are the minimum functional capabilities needed? In concept, is there anything that is likely to be implemented via digital means that is not explicitly needed?
What specific controls (digital and otherwise) can ensure that the most critical data is available, valid, and secure?
For each key data element, where must monitoring be in place to identify deviations from desired data states or settings? Is active monitoring necessary, or is logging combined with a periodic manual review process sufficient? What data elements should be exposed for external monitoring to reveal potential process anomalies, provide process validation, and to validate security? 
What processes are in place to ensure system operators are aware of triggers to temporarily change operations in response to a perceived threat? What stakeholders should be notified if there is an active defensive threat or weakness to this system?
For services critical to the functionality of the system under design, what additional contract requirements, beyond the normal baseline, should be defined for security, performance, and verification relating to the desired services? What specific quality and security requirements apply to vendors/suppliers/service providers for critical system components and services?
Do system requirements include a manual operation mode for any system that otherwise is controlled by an automated information system?
Does the system’s incident response plan contain a specific resilience focus and is there controls to ensure a fail-safe behavior?
What training, education, and practice will individuals and teams need to operate, maintain, secure, and defend the system throughout its lifecycle?</v>
      </c>
      <c r="L441" s="149">
        <v>415</v>
      </c>
      <c r="M441" s="134" t="s">
        <v>28</v>
      </c>
      <c r="N441" s="147"/>
      <c r="O441" s="135"/>
      <c r="P441" s="136"/>
    </row>
    <row r="442" spans="1:16">
      <c r="A442" s="428"/>
      <c r="B442" s="431"/>
      <c r="C442" s="434"/>
      <c r="D442" s="483"/>
      <c r="E442" s="483"/>
      <c r="F442" s="483"/>
      <c r="G442" s="483"/>
      <c r="H442" s="483"/>
      <c r="I442" s="483"/>
      <c r="J442" s="483"/>
      <c r="K442" s="483"/>
      <c r="L442" s="150">
        <v>416</v>
      </c>
      <c r="M442" s="125" t="s">
        <v>28</v>
      </c>
      <c r="N442" s="128"/>
      <c r="O442" s="126"/>
      <c r="P442" s="137"/>
    </row>
    <row r="443" spans="1:16">
      <c r="A443" s="428"/>
      <c r="B443" s="431"/>
      <c r="C443" s="434"/>
      <c r="D443" s="483"/>
      <c r="E443" s="483"/>
      <c r="F443" s="483"/>
      <c r="G443" s="483"/>
      <c r="H443" s="483"/>
      <c r="I443" s="483"/>
      <c r="J443" s="483"/>
      <c r="K443" s="483"/>
      <c r="L443" s="150">
        <v>417</v>
      </c>
      <c r="M443" s="130" t="s">
        <v>28</v>
      </c>
      <c r="N443" s="128"/>
      <c r="O443" s="126"/>
      <c r="P443" s="137"/>
    </row>
    <row r="444" spans="1:16">
      <c r="A444" s="428"/>
      <c r="B444" s="431"/>
      <c r="C444" s="434"/>
      <c r="D444" s="483"/>
      <c r="E444" s="483"/>
      <c r="F444" s="483"/>
      <c r="G444" s="483"/>
      <c r="H444" s="483"/>
      <c r="I444" s="483"/>
      <c r="J444" s="483"/>
      <c r="K444" s="483"/>
      <c r="L444" s="150">
        <v>418</v>
      </c>
      <c r="M444" s="125" t="s">
        <v>28</v>
      </c>
      <c r="N444" s="128"/>
      <c r="O444" s="126"/>
      <c r="P444" s="137"/>
    </row>
    <row r="445" spans="1:16">
      <c r="A445" s="428"/>
      <c r="B445" s="431"/>
      <c r="C445" s="434"/>
      <c r="D445" s="483"/>
      <c r="E445" s="483"/>
      <c r="F445" s="483"/>
      <c r="G445" s="483"/>
      <c r="H445" s="483"/>
      <c r="I445" s="483"/>
      <c r="J445" s="483"/>
      <c r="K445" s="483"/>
      <c r="L445" s="150">
        <v>419</v>
      </c>
      <c r="M445" s="130" t="s">
        <v>28</v>
      </c>
      <c r="N445" s="128"/>
      <c r="O445" s="126"/>
      <c r="P445" s="137"/>
    </row>
    <row r="446" spans="1:16">
      <c r="A446" s="428"/>
      <c r="B446" s="431"/>
      <c r="C446" s="434"/>
      <c r="D446" s="483"/>
      <c r="E446" s="483"/>
      <c r="F446" s="483"/>
      <c r="G446" s="483"/>
      <c r="H446" s="483"/>
      <c r="I446" s="483"/>
      <c r="J446" s="483"/>
      <c r="K446" s="483"/>
      <c r="L446" s="150">
        <v>420</v>
      </c>
      <c r="M446" s="125" t="s">
        <v>28</v>
      </c>
      <c r="N446" s="128"/>
      <c r="O446" s="126"/>
      <c r="P446" s="137"/>
    </row>
    <row r="447" spans="1:16">
      <c r="A447" s="428"/>
      <c r="B447" s="431"/>
      <c r="C447" s="434"/>
      <c r="D447" s="483"/>
      <c r="E447" s="483"/>
      <c r="F447" s="483"/>
      <c r="G447" s="483"/>
      <c r="H447" s="483"/>
      <c r="I447" s="483"/>
      <c r="J447" s="483"/>
      <c r="K447" s="483"/>
      <c r="L447" s="150">
        <v>421</v>
      </c>
      <c r="M447" s="130" t="s">
        <v>28</v>
      </c>
      <c r="N447" s="128"/>
      <c r="O447" s="126"/>
      <c r="P447" s="137"/>
    </row>
    <row r="448" spans="1:16">
      <c r="A448" s="428"/>
      <c r="B448" s="431"/>
      <c r="C448" s="434"/>
      <c r="D448" s="483"/>
      <c r="E448" s="483"/>
      <c r="F448" s="483"/>
      <c r="G448" s="483"/>
      <c r="H448" s="483"/>
      <c r="I448" s="483"/>
      <c r="J448" s="483"/>
      <c r="K448" s="483"/>
      <c r="L448" s="150">
        <v>422</v>
      </c>
      <c r="M448" s="125" t="s">
        <v>28</v>
      </c>
      <c r="N448" s="128"/>
      <c r="O448" s="126"/>
      <c r="P448" s="137"/>
    </row>
    <row r="449" spans="1:16" ht="15.75" thickBot="1">
      <c r="A449" s="429"/>
      <c r="B449" s="432"/>
      <c r="C449" s="435"/>
      <c r="D449" s="484"/>
      <c r="E449" s="484"/>
      <c r="F449" s="484"/>
      <c r="G449" s="484"/>
      <c r="H449" s="484"/>
      <c r="I449" s="484"/>
      <c r="J449" s="484"/>
      <c r="K449" s="484"/>
      <c r="L449" s="151">
        <v>423</v>
      </c>
      <c r="M449" s="290" t="s">
        <v>28</v>
      </c>
      <c r="N449" s="148"/>
      <c r="O449" s="139"/>
      <c r="P449" s="140"/>
    </row>
  </sheetData>
  <mergeCells count="351">
    <mergeCell ref="H441:H449"/>
    <mergeCell ref="G441:G449"/>
    <mergeCell ref="F441:F449"/>
    <mergeCell ref="E441:E449"/>
    <mergeCell ref="D441:D449"/>
    <mergeCell ref="I431:I440"/>
    <mergeCell ref="J431:J440"/>
    <mergeCell ref="K431:K440"/>
    <mergeCell ref="K441:K449"/>
    <mergeCell ref="J441:J449"/>
    <mergeCell ref="I441:I449"/>
    <mergeCell ref="D431:D440"/>
    <mergeCell ref="E431:E440"/>
    <mergeCell ref="F431:F440"/>
    <mergeCell ref="G431:G440"/>
    <mergeCell ref="H431:H440"/>
    <mergeCell ref="G415:G430"/>
    <mergeCell ref="H415:H430"/>
    <mergeCell ref="I415:I430"/>
    <mergeCell ref="J415:J430"/>
    <mergeCell ref="K415:K430"/>
    <mergeCell ref="F399:F414"/>
    <mergeCell ref="E399:E414"/>
    <mergeCell ref="D399:D414"/>
    <mergeCell ref="D415:D430"/>
    <mergeCell ref="E415:E430"/>
    <mergeCell ref="F415:F430"/>
    <mergeCell ref="K399:K414"/>
    <mergeCell ref="J399:J414"/>
    <mergeCell ref="I399:I414"/>
    <mergeCell ref="H399:H414"/>
    <mergeCell ref="G399:G414"/>
    <mergeCell ref="G341:G348"/>
    <mergeCell ref="K392:K398"/>
    <mergeCell ref="J392:J398"/>
    <mergeCell ref="I392:I398"/>
    <mergeCell ref="H392:H398"/>
    <mergeCell ref="G392:G398"/>
    <mergeCell ref="K375:K381"/>
    <mergeCell ref="J375:J381"/>
    <mergeCell ref="I375:I381"/>
    <mergeCell ref="H375:H381"/>
    <mergeCell ref="G375:G381"/>
    <mergeCell ref="I245:I253"/>
    <mergeCell ref="H245:H253"/>
    <mergeCell ref="G245:G253"/>
    <mergeCell ref="J254:J272"/>
    <mergeCell ref="I254:I272"/>
    <mergeCell ref="H254:H272"/>
    <mergeCell ref="G254:G272"/>
    <mergeCell ref="K327:K333"/>
    <mergeCell ref="J327:J333"/>
    <mergeCell ref="I327:I333"/>
    <mergeCell ref="H327:H333"/>
    <mergeCell ref="G327:G333"/>
    <mergeCell ref="K304:K316"/>
    <mergeCell ref="J304:J316"/>
    <mergeCell ref="I304:I316"/>
    <mergeCell ref="H304:H316"/>
    <mergeCell ref="G304:G316"/>
    <mergeCell ref="K219:K234"/>
    <mergeCell ref="J219:J234"/>
    <mergeCell ref="I219:I234"/>
    <mergeCell ref="H219:H234"/>
    <mergeCell ref="G219:G234"/>
    <mergeCell ref="K188:K202"/>
    <mergeCell ref="J188:J202"/>
    <mergeCell ref="I188:I202"/>
    <mergeCell ref="H188:H202"/>
    <mergeCell ref="G188:G202"/>
    <mergeCell ref="K203:K218"/>
    <mergeCell ref="J203:J218"/>
    <mergeCell ref="I203:I218"/>
    <mergeCell ref="H203:H218"/>
    <mergeCell ref="G203:G218"/>
    <mergeCell ref="I156:I173"/>
    <mergeCell ref="J156:J173"/>
    <mergeCell ref="K156:K173"/>
    <mergeCell ref="K174:K187"/>
    <mergeCell ref="J174:J187"/>
    <mergeCell ref="I174:I187"/>
    <mergeCell ref="L1:L2"/>
    <mergeCell ref="M1:M2"/>
    <mergeCell ref="N1:N2"/>
    <mergeCell ref="I144:I155"/>
    <mergeCell ref="J144:J155"/>
    <mergeCell ref="K144:K155"/>
    <mergeCell ref="I120:I131"/>
    <mergeCell ref="J120:J131"/>
    <mergeCell ref="K120:K131"/>
    <mergeCell ref="I97:I108"/>
    <mergeCell ref="J97:J108"/>
    <mergeCell ref="K97:K108"/>
    <mergeCell ref="I57:I75"/>
    <mergeCell ref="J57:J75"/>
    <mergeCell ref="K57:K75"/>
    <mergeCell ref="I37:I43"/>
    <mergeCell ref="J37:J43"/>
    <mergeCell ref="K37:K43"/>
    <mergeCell ref="O1:O2"/>
    <mergeCell ref="P1:P2"/>
    <mergeCell ref="K382:K391"/>
    <mergeCell ref="J382:J391"/>
    <mergeCell ref="I382:I391"/>
    <mergeCell ref="H382:H391"/>
    <mergeCell ref="G382:G391"/>
    <mergeCell ref="F382:F391"/>
    <mergeCell ref="E382:E391"/>
    <mergeCell ref="K349:K357"/>
    <mergeCell ref="J349:J357"/>
    <mergeCell ref="I349:I357"/>
    <mergeCell ref="H349:H357"/>
    <mergeCell ref="G349:G357"/>
    <mergeCell ref="F349:F357"/>
    <mergeCell ref="E349:E357"/>
    <mergeCell ref="K317:K326"/>
    <mergeCell ref="J317:J326"/>
    <mergeCell ref="I317:I326"/>
    <mergeCell ref="H317:H326"/>
    <mergeCell ref="G317:G326"/>
    <mergeCell ref="F317:F326"/>
    <mergeCell ref="E317:E326"/>
    <mergeCell ref="K254:K272"/>
    <mergeCell ref="D382:D391"/>
    <mergeCell ref="F392:F398"/>
    <mergeCell ref="E392:E398"/>
    <mergeCell ref="D392:D398"/>
    <mergeCell ref="K366:K374"/>
    <mergeCell ref="J366:J374"/>
    <mergeCell ref="I366:I374"/>
    <mergeCell ref="H366:H374"/>
    <mergeCell ref="G366:G374"/>
    <mergeCell ref="F366:F374"/>
    <mergeCell ref="E366:E374"/>
    <mergeCell ref="D366:D374"/>
    <mergeCell ref="F375:F381"/>
    <mergeCell ref="E375:E381"/>
    <mergeCell ref="D375:D381"/>
    <mergeCell ref="D349:D357"/>
    <mergeCell ref="F358:F365"/>
    <mergeCell ref="E358:E365"/>
    <mergeCell ref="D358:D365"/>
    <mergeCell ref="K334:K340"/>
    <mergeCell ref="J334:J340"/>
    <mergeCell ref="I334:I340"/>
    <mergeCell ref="H334:H340"/>
    <mergeCell ref="G334:G340"/>
    <mergeCell ref="F334:F340"/>
    <mergeCell ref="E334:E340"/>
    <mergeCell ref="D334:D340"/>
    <mergeCell ref="F341:F348"/>
    <mergeCell ref="E341:E348"/>
    <mergeCell ref="D341:D348"/>
    <mergeCell ref="K358:K365"/>
    <mergeCell ref="J358:J365"/>
    <mergeCell ref="I358:I365"/>
    <mergeCell ref="H358:H365"/>
    <mergeCell ref="G358:G365"/>
    <mergeCell ref="K341:K348"/>
    <mergeCell ref="J341:J348"/>
    <mergeCell ref="I341:I348"/>
    <mergeCell ref="H341:H348"/>
    <mergeCell ref="D317:D326"/>
    <mergeCell ref="F327:F333"/>
    <mergeCell ref="E327:E333"/>
    <mergeCell ref="D327:D333"/>
    <mergeCell ref="K290:K303"/>
    <mergeCell ref="J290:J303"/>
    <mergeCell ref="I290:I303"/>
    <mergeCell ref="H290:H303"/>
    <mergeCell ref="G290:G303"/>
    <mergeCell ref="F290:F303"/>
    <mergeCell ref="E290:E303"/>
    <mergeCell ref="D290:D303"/>
    <mergeCell ref="F304:F316"/>
    <mergeCell ref="E304:E316"/>
    <mergeCell ref="D304:D316"/>
    <mergeCell ref="F254:F272"/>
    <mergeCell ref="E254:E272"/>
    <mergeCell ref="D254:D272"/>
    <mergeCell ref="F273:F289"/>
    <mergeCell ref="E273:E289"/>
    <mergeCell ref="D273:D289"/>
    <mergeCell ref="K235:K244"/>
    <mergeCell ref="J235:J244"/>
    <mergeCell ref="I235:I244"/>
    <mergeCell ref="H235:H244"/>
    <mergeCell ref="G235:G244"/>
    <mergeCell ref="F235:F244"/>
    <mergeCell ref="E235:E244"/>
    <mergeCell ref="D235:D244"/>
    <mergeCell ref="F245:F253"/>
    <mergeCell ref="E245:E253"/>
    <mergeCell ref="D245:D253"/>
    <mergeCell ref="K273:K289"/>
    <mergeCell ref="J273:J289"/>
    <mergeCell ref="I273:I289"/>
    <mergeCell ref="H273:H289"/>
    <mergeCell ref="G273:G289"/>
    <mergeCell ref="K245:K253"/>
    <mergeCell ref="J245:J253"/>
    <mergeCell ref="F203:F218"/>
    <mergeCell ref="E203:E218"/>
    <mergeCell ref="D203:D218"/>
    <mergeCell ref="F219:F234"/>
    <mergeCell ref="E219:E234"/>
    <mergeCell ref="D219:D234"/>
    <mergeCell ref="H174:H187"/>
    <mergeCell ref="G174:G187"/>
    <mergeCell ref="F174:F187"/>
    <mergeCell ref="E174:E187"/>
    <mergeCell ref="D174:D187"/>
    <mergeCell ref="F188:F202"/>
    <mergeCell ref="E188:E202"/>
    <mergeCell ref="D188:D202"/>
    <mergeCell ref="D156:D173"/>
    <mergeCell ref="E156:E173"/>
    <mergeCell ref="F156:F173"/>
    <mergeCell ref="G156:G173"/>
    <mergeCell ref="H156:H173"/>
    <mergeCell ref="D144:D155"/>
    <mergeCell ref="E144:E155"/>
    <mergeCell ref="F144:F155"/>
    <mergeCell ref="G144:G155"/>
    <mergeCell ref="H144:H155"/>
    <mergeCell ref="D132:D143"/>
    <mergeCell ref="E132:E143"/>
    <mergeCell ref="F132:F143"/>
    <mergeCell ref="G132:G143"/>
    <mergeCell ref="H132:H143"/>
    <mergeCell ref="I132:I143"/>
    <mergeCell ref="J132:J143"/>
    <mergeCell ref="K132:K143"/>
    <mergeCell ref="D120:D131"/>
    <mergeCell ref="E120:E131"/>
    <mergeCell ref="F120:F131"/>
    <mergeCell ref="G120:G131"/>
    <mergeCell ref="H120:H131"/>
    <mergeCell ref="D109:D119"/>
    <mergeCell ref="E109:E119"/>
    <mergeCell ref="F109:F119"/>
    <mergeCell ref="G109:G119"/>
    <mergeCell ref="H109:H119"/>
    <mergeCell ref="I109:I119"/>
    <mergeCell ref="J109:J119"/>
    <mergeCell ref="K109:K119"/>
    <mergeCell ref="D97:D108"/>
    <mergeCell ref="E97:E108"/>
    <mergeCell ref="F97:F108"/>
    <mergeCell ref="G97:G108"/>
    <mergeCell ref="H97:H108"/>
    <mergeCell ref="D76:D96"/>
    <mergeCell ref="E76:E96"/>
    <mergeCell ref="F76:F96"/>
    <mergeCell ref="G76:G96"/>
    <mergeCell ref="H76:H96"/>
    <mergeCell ref="I76:I96"/>
    <mergeCell ref="J76:J96"/>
    <mergeCell ref="K76:K96"/>
    <mergeCell ref="D57:D75"/>
    <mergeCell ref="E57:E75"/>
    <mergeCell ref="F57:F75"/>
    <mergeCell ref="G57:G75"/>
    <mergeCell ref="H57:H75"/>
    <mergeCell ref="B327:B398"/>
    <mergeCell ref="C57:C75"/>
    <mergeCell ref="B156:B173"/>
    <mergeCell ref="C109:C119"/>
    <mergeCell ref="C120:C131"/>
    <mergeCell ref="C76:C96"/>
    <mergeCell ref="C97:C108"/>
    <mergeCell ref="C334:C340"/>
    <mergeCell ref="C341:C348"/>
    <mergeCell ref="C273:C289"/>
    <mergeCell ref="C290:C303"/>
    <mergeCell ref="C304:C316"/>
    <mergeCell ref="C317:C326"/>
    <mergeCell ref="C327:C333"/>
    <mergeCell ref="C203:C218"/>
    <mergeCell ref="B57:B108"/>
    <mergeCell ref="C254:C272"/>
    <mergeCell ref="D1:J1"/>
    <mergeCell ref="D3:D6"/>
    <mergeCell ref="E3:E6"/>
    <mergeCell ref="F3:F6"/>
    <mergeCell ref="G3:G6"/>
    <mergeCell ref="H3:H6"/>
    <mergeCell ref="I3:I6"/>
    <mergeCell ref="J3:J6"/>
    <mergeCell ref="D30:D36"/>
    <mergeCell ref="E30:E36"/>
    <mergeCell ref="F30:F36"/>
    <mergeCell ref="G30:G36"/>
    <mergeCell ref="H30:H36"/>
    <mergeCell ref="I30:I36"/>
    <mergeCell ref="J30:J36"/>
    <mergeCell ref="D44:D56"/>
    <mergeCell ref="E44:E56"/>
    <mergeCell ref="F44:F56"/>
    <mergeCell ref="G44:G56"/>
    <mergeCell ref="H44:H56"/>
    <mergeCell ref="I44:I56"/>
    <mergeCell ref="J44:J56"/>
    <mergeCell ref="D37:D43"/>
    <mergeCell ref="R3:X35"/>
    <mergeCell ref="C30:C36"/>
    <mergeCell ref="C37:C43"/>
    <mergeCell ref="C44:C56"/>
    <mergeCell ref="B3:B29"/>
    <mergeCell ref="C3:C6"/>
    <mergeCell ref="C7:C29"/>
    <mergeCell ref="B30:B56"/>
    <mergeCell ref="K3:K6"/>
    <mergeCell ref="D7:D29"/>
    <mergeCell ref="E7:E29"/>
    <mergeCell ref="F7:F29"/>
    <mergeCell ref="G7:G29"/>
    <mergeCell ref="H7:H29"/>
    <mergeCell ref="I7:I29"/>
    <mergeCell ref="J7:J29"/>
    <mergeCell ref="K7:K29"/>
    <mergeCell ref="K30:K36"/>
    <mergeCell ref="K44:K56"/>
    <mergeCell ref="E37:E43"/>
    <mergeCell ref="F37:F43"/>
    <mergeCell ref="G37:G43"/>
    <mergeCell ref="H37:H43"/>
    <mergeCell ref="C132:C143"/>
    <mergeCell ref="A30:A449"/>
    <mergeCell ref="B399:B449"/>
    <mergeCell ref="C399:C414"/>
    <mergeCell ref="C415:C430"/>
    <mergeCell ref="C431:C440"/>
    <mergeCell ref="C441:C449"/>
    <mergeCell ref="C375:C381"/>
    <mergeCell ref="C382:C391"/>
    <mergeCell ref="C392:C398"/>
    <mergeCell ref="C349:C357"/>
    <mergeCell ref="C358:C365"/>
    <mergeCell ref="C366:C374"/>
    <mergeCell ref="C144:C155"/>
    <mergeCell ref="C156:C173"/>
    <mergeCell ref="C174:C187"/>
    <mergeCell ref="C188:C202"/>
    <mergeCell ref="B109:B155"/>
    <mergeCell ref="B174:B202"/>
    <mergeCell ref="B203:B253"/>
    <mergeCell ref="B254:B326"/>
    <mergeCell ref="C219:C234"/>
    <mergeCell ref="C235:C244"/>
    <mergeCell ref="C245:C253"/>
  </mergeCells>
  <conditionalFormatting sqref="M1 M3:M1048576">
    <cfRule type="containsText" dxfId="1" priority="3" operator="containsText" text="Yes">
      <formula>NOT(ISERROR(SEARCH("Yes",M1)))</formula>
    </cfRule>
    <cfRule type="containsText" dxfId="0" priority="4" operator="containsText" text="No">
      <formula>NOT(ISERROR(SEARCH("No",M1)))</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12AFEA3B-0F61-4E6E-9DD7-6E6F508DD256}">
          <x14:formula1>
            <xm:f>'Lookups (Keep Hidden)'!$B$1:$B$2</xm:f>
          </x14:formula1>
          <xm:sqref>O89:O96 O67:O75 N188:N1048576 N3:N155</xm:sqref>
        </x14:dataValidation>
        <x14:dataValidation type="list" allowBlank="1" showInputMessage="1" showErrorMessage="1" xr:uid="{0E5F8688-9AB1-44A7-B6BA-762745FD37E5}">
          <x14:formula1>
            <xm:f>'Lookups (Keep Hidden)'!$A$1:$A$2</xm:f>
          </x14:formula1>
          <xm:sqref>M188:M1048576 M3:M173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Lookups (Keep Hidden)</vt:lpstr>
      <vt:lpstr>Microgrid Analysis Welcome Page</vt:lpstr>
      <vt:lpstr>NOTICE</vt:lpstr>
      <vt:lpstr>Audience Expectations</vt:lpstr>
      <vt:lpstr>Step 0 - System Criticality</vt:lpstr>
      <vt:lpstr>Step 1 - System Definition</vt:lpstr>
      <vt:lpstr>Step 2 - Service Definition|1</vt:lpstr>
      <vt:lpstr>Step 2 - Service Definition|2</vt:lpstr>
      <vt:lpstr>Step 3 - Consequence Definition</vt:lpstr>
      <vt:lpstr>Step 4 - Consequence Analysis</vt:lpstr>
      <vt:lpstr>Step 5 - Mitigation Analysis</vt:lpstr>
      <vt:lpstr>Step 5 - Mitigations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Benjamin Ruhlig Lampe</dc:creator>
  <cp:lastModifiedBy>Benjamin Ruhlig Lampe</cp:lastModifiedBy>
  <dcterms:created xsi:type="dcterms:W3CDTF">2024-07-30T20:02:45Z</dcterms:created>
  <dcterms:modified xsi:type="dcterms:W3CDTF">2025-01-16T18:33:42Z</dcterms:modified>
</cp:coreProperties>
</file>